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xr:revisionPtr revIDLastSave="452" documentId="11_0B1D56BE9CDCCE836B02CE7A5FB0D4A9BBFD1C62" xr6:coauthVersionLast="47" xr6:coauthVersionMax="47" xr10:uidLastSave="{27097C48-3107-41C4-84D8-094FD063B554}"/>
  <bookViews>
    <workbookView xWindow="240" yWindow="105" windowWidth="14805" windowHeight="8010" activeTab="7" xr2:uid="{00000000-000D-0000-FFFF-FFFF00000000}"/>
  </bookViews>
  <sheets>
    <sheet name="KPI_Summary" sheetId="2" r:id="rId1"/>
    <sheet name="Rides_Weekday" sheetId="3" r:id="rId2"/>
    <sheet name="Rides_Hour" sheetId="4" r:id="rId3"/>
    <sheet name="Rides_Month" sheetId="5" r:id="rId4"/>
    <sheet name="Pivot_Table_RH" sheetId="7" r:id="rId5"/>
    <sheet name="Pivot_Table_RW" sheetId="8" r:id="rId6"/>
    <sheet name="Pivot_Table_RM" sheetId="9" r:id="rId7"/>
    <sheet name="Dashboard" sheetId="10" r:id="rId8"/>
  </sheets>
  <definedNames>
    <definedName name="ExternalData_1" localSheetId="0" hidden="1">KPI_Summary!$A$1:$D$3</definedName>
    <definedName name="ExternalData_1" localSheetId="1" hidden="1">Rides_Weekday!$A$1:$C$15</definedName>
    <definedName name="ExternalData_1" localSheetId="2" hidden="1">Rides_Hour!$A$1:$C$49</definedName>
    <definedName name="ExternalData_1" localSheetId="3" hidden="1">Rides_Month!$A$1:$C$25</definedName>
  </definedNames>
  <calcPr calcId="191028"/>
  <pivotCaches>
    <pivotCache cacheId="995" r:id="rId9"/>
    <pivotCache cacheId="996" r:id="rId10"/>
    <pivotCache cacheId="99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0" l="1"/>
  <c r="D4" i="10"/>
  <c r="J4" i="10"/>
  <c r="G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4A6A9-42CA-40EC-A027-047B6B8053CF}" keepAlive="1" name="Query - excel_kpi_summary" description="Connection to the 'excel_kpi_summary' query in the workbook." type="5" refreshedVersion="8" background="1">
    <dbPr connection="Provider=Microsoft.Mashup.OleDb.1;Data Source=$Workbook$;Location=excel_kpi_summary;Extended Properties=&quot;&quot;" command="SELECT * FROM [excel_kpi_summary]"/>
  </connection>
  <connection id="2" xr16:uid="{90B1F5AA-9929-488C-9DFB-25C0AF92CF9D}" keepAlive="1" name="Query - excel_rides_by_hour" description="Connection to the 'excel_rides_by_hour' query in the workbook." type="5" refreshedVersion="8" background="1">
    <dbPr connection="Provider=Microsoft.Mashup.OleDb.1;Data Source=$Workbook$;Location=excel_rides_by_hour;Extended Properties=&quot;&quot;" command="SELECT * FROM [excel_rides_by_hour]"/>
  </connection>
  <connection id="3" xr16:uid="{85B575B7-6BAE-49B3-B228-93E922FDB1C5}" keepAlive="1" name="Query - excel_rides_by_month" description="Connection to the 'excel_rides_by_month' query in the workbook." type="5" refreshedVersion="8" background="1">
    <dbPr connection="Provider=Microsoft.Mashup.OleDb.1;Data Source=$Workbook$;Location=excel_rides_by_month;Extended Properties=&quot;&quot;" command="SELECT * FROM [excel_rides_by_month]"/>
  </connection>
  <connection id="4" xr16:uid="{3EE98A56-9F9F-4FE2-8A86-05D4BA6FFC50}" keepAlive="1" name="Query - excel_rides_by_weekday 1" description="Connection to the 'excel_rides_by_weekday 1' query in the workbook." type="5" refreshedVersion="8" background="1">
    <dbPr connection="Provider=Microsoft.Mashup.OleDb.1;Data Source=$Workbook$;Location=excel_rides_by_weekday 1;Extended Properties=&quot;&quot;" command="SELECT * FROM [excel_rides_by_weekday 1]"/>
  </connection>
</connections>
</file>

<file path=xl/sharedStrings.xml><?xml version="1.0" encoding="utf-8"?>
<sst xmlns="http://schemas.openxmlformats.org/spreadsheetml/2006/main" count="182" uniqueCount="36">
  <si>
    <t>user_type</t>
  </si>
  <si>
    <t>rides</t>
  </si>
  <si>
    <t>avg_duration_min</t>
  </si>
  <si>
    <t>median_duration_min</t>
  </si>
  <si>
    <t>Customer</t>
  </si>
  <si>
    <t>Subscriber</t>
  </si>
  <si>
    <t>day_of_week</t>
  </si>
  <si>
    <t>weekday_order</t>
  </si>
  <si>
    <t>Sunday</t>
  </si>
  <si>
    <t>Monday</t>
  </si>
  <si>
    <t>Tuesday</t>
  </si>
  <si>
    <t>Wednesday</t>
  </si>
  <si>
    <t>Thursday</t>
  </si>
  <si>
    <t>Friday</t>
  </si>
  <si>
    <t>Saturday</t>
  </si>
  <si>
    <t>hour</t>
  </si>
  <si>
    <t>month</t>
  </si>
  <si>
    <t>month_order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</si>
  <si>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</si>
  <si>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</si>
  <si>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</si>
  <si>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</si>
  <si>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</si>
  <si>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</si>
  <si>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</si>
  <si>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</si>
  <si>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</si>
  <si>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</si>
  <si>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</si>
  <si>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</si>
  <si>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rides</t>
  </si>
  <si>
    <t>Cyclistic Bike-Share — 2019 Usage Dashboard (Customer vs Subscriber)</t>
  </si>
  <si>
    <t>Customer rides</t>
  </si>
  <si>
    <t>Subscriber rides</t>
  </si>
  <si>
    <t>Avg duration (Customer)</t>
  </si>
  <si>
    <t>Avg duration (Subscriber)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</si>
</sst>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7" xfId="0" pivotButton="1" applyBorder="1"/>
    <xf numFmtId="0" fontId="0" fillId="0" borderId="7" xfId="0" applyBorder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3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Hour (Commute Pattern vs Leisure)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Pivot_Table_RH!$B$2:$B$3</c:f>
              <c:strCache>
                <c:ptCount val="1"/>
                <c:pt idx="0">
                  <c:v>Customer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Pivot_Table_RH!$A$4:$A$27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Pivot_Table_RH!$B$4:$B$27</c:f>
              <c:numCache>
                <c:formatCode>General</c:formatCode>
                <c:ptCount val="24"/>
                <c:pt idx="0">
                  <c:v>8179</c:v>
                </c:pt>
                <c:pt idx="1">
                  <c:v>5355</c:v>
                </c:pt>
                <c:pt idx="2">
                  <c:v>3313</c:v>
                </c:pt>
                <c:pt idx="3">
                  <c:v>1908</c:v>
                </c:pt>
                <c:pt idx="4">
                  <c:v>1167</c:v>
                </c:pt>
                <c:pt idx="5">
                  <c:v>2606</c:v>
                </c:pt>
                <c:pt idx="6">
                  <c:v>6077</c:v>
                </c:pt>
                <c:pt idx="7">
                  <c:v>12853</c:v>
                </c:pt>
                <c:pt idx="8">
                  <c:v>21770</c:v>
                </c:pt>
                <c:pt idx="9">
                  <c:v>28655</c:v>
                </c:pt>
                <c:pt idx="10">
                  <c:v>44712</c:v>
                </c:pt>
                <c:pt idx="11">
                  <c:v>59969</c:v>
                </c:pt>
                <c:pt idx="12">
                  <c:v>69517</c:v>
                </c:pt>
                <c:pt idx="13">
                  <c:v>75084</c:v>
                </c:pt>
                <c:pt idx="14">
                  <c:v>78358</c:v>
                </c:pt>
                <c:pt idx="15">
                  <c:v>80001</c:v>
                </c:pt>
                <c:pt idx="16">
                  <c:v>82751</c:v>
                </c:pt>
                <c:pt idx="17">
                  <c:v>84343</c:v>
                </c:pt>
                <c:pt idx="18">
                  <c:v>67928</c:v>
                </c:pt>
                <c:pt idx="19">
                  <c:v>50295</c:v>
                </c:pt>
                <c:pt idx="20">
                  <c:v>34331</c:v>
                </c:pt>
                <c:pt idx="21">
                  <c:v>24876</c:v>
                </c:pt>
                <c:pt idx="22">
                  <c:v>21120</c:v>
                </c:pt>
                <c:pt idx="23">
                  <c:v>14122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1-497B-8984-8B7E5107107A}"/>
            </c:ext>
          </c:extLst>
        </c:ser>
        <c:ser>
          <c:idx val="1"/>
          <c:order val="1"/>
          <c:tx>
            <c:strRef>
              <c:f>Pivot_Table_RH!$C$2:$C$3</c:f>
              <c:strCache>
                <c:ptCount val="1"/>
                <c:pt idx="0">
                  <c:v>Subscriber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Pivot_Table_RH!$A$4:$A$27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Pivot_Table_RH!$C$4:$C$27</c:f>
              <c:numCache>
                <c:formatCode>General</c:formatCode>
                <c:ptCount val="24"/>
                <c:pt idx="0">
                  <c:v>15867</c:v>
                </c:pt>
                <c:pt idx="1">
                  <c:v>9029</c:v>
                </c:pt>
                <c:pt idx="2">
                  <c:v>5326</c:v>
                </c:pt>
                <c:pt idx="3">
                  <c:v>3680</c:v>
                </c:pt>
                <c:pt idx="4">
                  <c:v>6614</c:v>
                </c:pt>
                <c:pt idx="5">
                  <c:v>33151</c:v>
                </c:pt>
                <c:pt idx="6">
                  <c:v>102130</c:v>
                </c:pt>
                <c:pt idx="7">
                  <c:v>224826</c:v>
                </c:pt>
                <c:pt idx="8">
                  <c:v>283941</c:v>
                </c:pt>
                <c:pt idx="9">
                  <c:v>135109</c:v>
                </c:pt>
                <c:pt idx="10">
                  <c:v>100686</c:v>
                </c:pt>
                <c:pt idx="11">
                  <c:v>119915</c:v>
                </c:pt>
                <c:pt idx="12">
                  <c:v>136645</c:v>
                </c:pt>
                <c:pt idx="13">
                  <c:v>131920</c:v>
                </c:pt>
                <c:pt idx="14">
                  <c:v>127892</c:v>
                </c:pt>
                <c:pt idx="15">
                  <c:v>163317</c:v>
                </c:pt>
                <c:pt idx="16">
                  <c:v>292860</c:v>
                </c:pt>
                <c:pt idx="17">
                  <c:v>390619</c:v>
                </c:pt>
                <c:pt idx="18">
                  <c:v>247176</c:v>
                </c:pt>
                <c:pt idx="19">
                  <c:v>158353</c:v>
                </c:pt>
                <c:pt idx="20">
                  <c:v>99735</c:v>
                </c:pt>
                <c:pt idx="21">
                  <c:v>71245</c:v>
                </c:pt>
                <c:pt idx="22">
                  <c:v>48522</c:v>
                </c:pt>
                <c:pt idx="23">
                  <c:v>28308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1-497B-8984-8B7E51071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560583"/>
        <c:axId val="1049562631"/>
      </c:lineChart>
      <c:catAx>
        <c:axId val="104956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2631"/>
        <c:crosses val="autoZero"/>
        <c:auto val="1"/>
        <c:lblAlgn val="ctr"/>
        <c:lblOffset val="100"/>
        <c:noMultiLvlLbl val="0"/>
      </c:catAx>
      <c:valAx>
        <c:axId val="104956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Weekday (Customer vs Subscriber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Pivot_Table_RW!$C$3:$C$4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Pivot_Table_RW!$A$5:$B$11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Pivot_Table_RW!$C$5:$C$11</c:f>
              <c:numCache>
                <c:formatCode>General</c:formatCode>
                <c:ptCount val="7"/>
                <c:pt idx="0">
                  <c:v>101356</c:v>
                </c:pt>
                <c:pt idx="1">
                  <c:v>88495</c:v>
                </c:pt>
                <c:pt idx="2">
                  <c:v>89601</c:v>
                </c:pt>
                <c:pt idx="3">
                  <c:v>101203</c:v>
                </c:pt>
                <c:pt idx="4">
                  <c:v>120934</c:v>
                </c:pt>
                <c:pt idx="5">
                  <c:v>207760</c:v>
                </c:pt>
                <c:pt idx="6">
                  <c:v>169941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9F0-A3F7-94A57148EDB9}"/>
            </c:ext>
          </c:extLst>
        </c:ser>
        <c:ser>
          <c:idx val="1"/>
          <c:order val="1"/>
          <c:tx>
            <c:strRef>
              <c:f>Pivot_Table_RW!$D$3:$D$4</c:f>
              <c:strCache>
                <c:ptCount val="1"/>
                <c:pt idx="0">
                  <c:v>Subscriber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Pivot_Table_RW!$A$5:$B$11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Pivot_Table_RW!$D$5:$D$11</c:f>
              <c:numCache>
                <c:formatCode>General</c:formatCode>
                <c:ptCount val="7"/>
                <c:pt idx="0">
                  <c:v>458714</c:v>
                </c:pt>
                <c:pt idx="1">
                  <c:v>496951</c:v>
                </c:pt>
                <c:pt idx="2">
                  <c:v>494205</c:v>
                </c:pt>
                <c:pt idx="3">
                  <c:v>486837</c:v>
                </c:pt>
                <c:pt idx="4">
                  <c:v>456890</c:v>
                </c:pt>
                <c:pt idx="5">
                  <c:v>287078</c:v>
                </c:pt>
                <c:pt idx="6">
                  <c:v>256191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7-49F0-A3F7-94A57148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47848"/>
        <c:axId val="936574984"/>
      </c:barChart>
      <c:catAx>
        <c:axId val="1336547848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74984"/>
        <c:crosses val="autoZero"/>
        <c:auto val="1"/>
        <c:lblAlgn val="ctr"/>
        <c:lblOffset val="100"/>
        <c:noMultiLvlLbl val="0"/>
      </c:catAx>
      <c:valAx>
        <c:axId val="9365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4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Month (Seasonality)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Pivot_Table_RM!$C$2:$C$3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Pivot_Table_RM!$A$4:$B$15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Pivot_Table_RM!$C$4:$C$15</c:f>
              <c:numCache>
                <c:formatCode>General</c:formatCode>
                <c:ptCount val="12"/>
                <c:pt idx="0">
                  <c:v>4591</c:v>
                </c:pt>
                <c:pt idx="1">
                  <c:v>2627</c:v>
                </c:pt>
                <c:pt idx="2">
                  <c:v>15877</c:v>
                </c:pt>
                <c:pt idx="3">
                  <c:v>47669</c:v>
                </c:pt>
                <c:pt idx="4">
                  <c:v>81507</c:v>
                </c:pt>
                <c:pt idx="5">
                  <c:v>130066</c:v>
                </c:pt>
                <c:pt idx="6">
                  <c:v>175433</c:v>
                </c:pt>
                <c:pt idx="7">
                  <c:v>186625</c:v>
                </c:pt>
                <c:pt idx="8">
                  <c:v>128988</c:v>
                </c:pt>
                <c:pt idx="9">
                  <c:v>70889</c:v>
                </c:pt>
                <c:pt idx="10">
                  <c:v>18653</c:v>
                </c:pt>
                <c:pt idx="11">
                  <c:v>16365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4E7-8AE5-997024BBDF52}"/>
            </c:ext>
          </c:extLst>
        </c:ser>
        <c:ser>
          <c:idx val="1"/>
          <c:order val="1"/>
          <c:tx>
            <c:strRef>
              <c:f>Pivot_Table_RM!$D$2:$D$3</c:f>
              <c:strCache>
                <c:ptCount val="1"/>
                <c:pt idx="0">
                  <c:v>Subscriber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Pivot_Table_RM!$A$4:$B$15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Pivot_Table_RM!$D$4:$D$15</c:f>
              <c:numCache>
                <c:formatCode>General</c:formatCode>
                <c:ptCount val="12"/>
                <c:pt idx="0">
                  <c:v>98601</c:v>
                </c:pt>
                <c:pt idx="1">
                  <c:v>93522</c:v>
                </c:pt>
                <c:pt idx="2">
                  <c:v>149659</c:v>
                </c:pt>
                <c:pt idx="3">
                  <c:v>217531</c:v>
                </c:pt>
                <c:pt idx="4">
                  <c:v>285793</c:v>
                </c:pt>
                <c:pt idx="5">
                  <c:v>345135</c:v>
                </c:pt>
                <c:pt idx="6">
                  <c:v>381615</c:v>
                </c:pt>
                <c:pt idx="7">
                  <c:v>403241</c:v>
                </c:pt>
                <c:pt idx="8">
                  <c:v>364004</c:v>
                </c:pt>
                <c:pt idx="9">
                  <c:v>300717</c:v>
                </c:pt>
                <c:pt idx="10">
                  <c:v>158401</c:v>
                </c:pt>
                <c:pt idx="11">
                  <c:v>138647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2-44E7-8AE5-997024BBD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620040"/>
        <c:axId val="936608776"/>
      </c:barChart>
      <c:catAx>
        <c:axId val="9366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08776"/>
        <c:crosses val="autoZero"/>
        <c:auto val="1"/>
        <c:lblAlgn val="ctr"/>
        <c:lblOffset val="100"/>
        <c:noMultiLvlLbl val="0"/>
      </c:catAx>
      <c:valAx>
        <c:axId val="93660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[Cyclistic_Excel_Dashboad.xlsx]Pivot_Table_RW!PivotTable1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Weekday (Customer vs Subscriber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Pivot_Table_RW!$C$3:$C$4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Pivot_Table_RW!$A$5:$B$11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Pivot_Table_RW!$C$5:$C$11</c:f>
              <c:numCache>
                <c:formatCode>General</c:formatCode>
                <c:ptCount val="7"/>
                <c:pt idx="0">
                  <c:v>101356</c:v>
                </c:pt>
                <c:pt idx="1">
                  <c:v>88495</c:v>
                </c:pt>
                <c:pt idx="2">
                  <c:v>89601</c:v>
                </c:pt>
                <c:pt idx="3">
                  <c:v>101203</c:v>
                </c:pt>
                <c:pt idx="4">
                  <c:v>120934</c:v>
                </c:pt>
                <c:pt idx="5">
                  <c:v>207760</c:v>
                </c:pt>
                <c:pt idx="6">
                  <c:v>169941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1-4076-94E2-6B8F085E06C7}"/>
            </c:ext>
          </c:extLst>
        </c:ser>
        <c:ser>
          <c:idx val="1"/>
          <c:order val="1"/>
          <c:tx>
            <c:strRef>
              <c:f>Pivot_Table_RW!$D$3:$D$4</c:f>
              <c:strCache>
                <c:ptCount val="1"/>
                <c:pt idx="0">
                  <c:v>Subscriber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Pivot_Table_RW!$A$5:$B$11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Pivot_Table_RW!$D$5:$D$11</c:f>
              <c:numCache>
                <c:formatCode>General</c:formatCode>
                <c:ptCount val="7"/>
                <c:pt idx="0">
                  <c:v>458714</c:v>
                </c:pt>
                <c:pt idx="1">
                  <c:v>496951</c:v>
                </c:pt>
                <c:pt idx="2">
                  <c:v>494205</c:v>
                </c:pt>
                <c:pt idx="3">
                  <c:v>486837</c:v>
                </c:pt>
                <c:pt idx="4">
                  <c:v>456890</c:v>
                </c:pt>
                <c:pt idx="5">
                  <c:v>287078</c:v>
                </c:pt>
                <c:pt idx="6">
                  <c:v>256191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1-4076-94E2-6B8F085E0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47848"/>
        <c:axId val="936574984"/>
      </c:barChart>
      <c:catAx>
        <c:axId val="1336547848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74984"/>
        <c:crosses val="autoZero"/>
        <c:auto val="1"/>
        <c:lblAlgn val="ctr"/>
        <c:lblOffset val="100"/>
        <c:noMultiLvlLbl val="0"/>
      </c:catAx>
      <c:valAx>
        <c:axId val="9365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4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[Cyclistic_Excel_Dashboad.xlsx]Pivot_Table_RH!PivotTable2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Hour (Commute Pattern vs Leisure)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Pivot_Table_RH!$B$2:$B$3</c:f>
              <c:strCache>
                <c:ptCount val="1"/>
                <c:pt idx="0">
                  <c:v>Customer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Pivot_Table_RH!$A$4:$A$27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Pivot_Table_RH!$B$4:$B$27</c:f>
              <c:numCache>
                <c:formatCode>General</c:formatCode>
                <c:ptCount val="24"/>
                <c:pt idx="0">
                  <c:v>8179</c:v>
                </c:pt>
                <c:pt idx="1">
                  <c:v>5355</c:v>
                </c:pt>
                <c:pt idx="2">
                  <c:v>3313</c:v>
                </c:pt>
                <c:pt idx="3">
                  <c:v>1908</c:v>
                </c:pt>
                <c:pt idx="4">
                  <c:v>1167</c:v>
                </c:pt>
                <c:pt idx="5">
                  <c:v>2606</c:v>
                </c:pt>
                <c:pt idx="6">
                  <c:v>6077</c:v>
                </c:pt>
                <c:pt idx="7">
                  <c:v>12853</c:v>
                </c:pt>
                <c:pt idx="8">
                  <c:v>21770</c:v>
                </c:pt>
                <c:pt idx="9">
                  <c:v>28655</c:v>
                </c:pt>
                <c:pt idx="10">
                  <c:v>44712</c:v>
                </c:pt>
                <c:pt idx="11">
                  <c:v>59969</c:v>
                </c:pt>
                <c:pt idx="12">
                  <c:v>69517</c:v>
                </c:pt>
                <c:pt idx="13">
                  <c:v>75084</c:v>
                </c:pt>
                <c:pt idx="14">
                  <c:v>78358</c:v>
                </c:pt>
                <c:pt idx="15">
                  <c:v>80001</c:v>
                </c:pt>
                <c:pt idx="16">
                  <c:v>82751</c:v>
                </c:pt>
                <c:pt idx="17">
                  <c:v>84343</c:v>
                </c:pt>
                <c:pt idx="18">
                  <c:v>67928</c:v>
                </c:pt>
                <c:pt idx="19">
                  <c:v>50295</c:v>
                </c:pt>
                <c:pt idx="20">
                  <c:v>34331</c:v>
                </c:pt>
                <c:pt idx="21">
                  <c:v>24876</c:v>
                </c:pt>
                <c:pt idx="22">
                  <c:v>21120</c:v>
                </c:pt>
                <c:pt idx="23">
                  <c:v>14122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A-4C39-9F7F-7B3680C7045A}"/>
            </c:ext>
          </c:extLst>
        </c:ser>
        <c:ser>
          <c:idx val="1"/>
          <c:order val="1"/>
          <c:tx>
            <c:strRef>
              <c:f>Pivot_Table_RH!$C$2:$C$3</c:f>
              <c:strCache>
                <c:ptCount val="1"/>
                <c:pt idx="0">
                  <c:v>Subscriber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Pivot_Table_RH!$A$4:$A$27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Pivot_Table_RH!$C$4:$C$27</c:f>
              <c:numCache>
                <c:formatCode>General</c:formatCode>
                <c:ptCount val="24"/>
                <c:pt idx="0">
                  <c:v>15867</c:v>
                </c:pt>
                <c:pt idx="1">
                  <c:v>9029</c:v>
                </c:pt>
                <c:pt idx="2">
                  <c:v>5326</c:v>
                </c:pt>
                <c:pt idx="3">
                  <c:v>3680</c:v>
                </c:pt>
                <c:pt idx="4">
                  <c:v>6614</c:v>
                </c:pt>
                <c:pt idx="5">
                  <c:v>33151</c:v>
                </c:pt>
                <c:pt idx="6">
                  <c:v>102130</c:v>
                </c:pt>
                <c:pt idx="7">
                  <c:v>224826</c:v>
                </c:pt>
                <c:pt idx="8">
                  <c:v>283941</c:v>
                </c:pt>
                <c:pt idx="9">
                  <c:v>135109</c:v>
                </c:pt>
                <c:pt idx="10">
                  <c:v>100686</c:v>
                </c:pt>
                <c:pt idx="11">
                  <c:v>119915</c:v>
                </c:pt>
                <c:pt idx="12">
                  <c:v>136645</c:v>
                </c:pt>
                <c:pt idx="13">
                  <c:v>131920</c:v>
                </c:pt>
                <c:pt idx="14">
                  <c:v>127892</c:v>
                </c:pt>
                <c:pt idx="15">
                  <c:v>163317</c:v>
                </c:pt>
                <c:pt idx="16">
                  <c:v>292860</c:v>
                </c:pt>
                <c:pt idx="17">
                  <c:v>390619</c:v>
                </c:pt>
                <c:pt idx="18">
                  <c:v>247176</c:v>
                </c:pt>
                <c:pt idx="19">
                  <c:v>158353</c:v>
                </c:pt>
                <c:pt idx="20">
                  <c:v>99735</c:v>
                </c:pt>
                <c:pt idx="21">
                  <c:v>71245</c:v>
                </c:pt>
                <c:pt idx="22">
                  <c:v>48522</c:v>
                </c:pt>
                <c:pt idx="23">
                  <c:v>28308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BA-4C39-9F7F-7B3680C7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560583"/>
        <c:axId val="1049562631"/>
      </c:lineChart>
      <c:catAx>
        <c:axId val="104956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2631"/>
        <c:crosses val="autoZero"/>
        <c:auto val="1"/>
        <c:lblAlgn val="ctr"/>
        <c:lblOffset val="100"/>
        <c:noMultiLvlLbl val="0"/>
      </c:catAx>
      <c:valAx>
        <c:axId val="104956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[Cyclistic_Excel_Dashboad.xlsx]Pivot_Table_RM!PivotTable3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Rides by Month (Seasonality)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Pivot_Table_RM!$C$2:$C$3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Pivot_Table_RM!$A$4:$B$15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Pivot_Table_RM!$C$4:$C$15</c:f>
              <c:numCache>
                <c:formatCode>General</c:formatCode>
                <c:ptCount val="12"/>
                <c:pt idx="0">
                  <c:v>4591</c:v>
                </c:pt>
                <c:pt idx="1">
                  <c:v>2627</c:v>
                </c:pt>
                <c:pt idx="2">
                  <c:v>15877</c:v>
                </c:pt>
                <c:pt idx="3">
                  <c:v>47669</c:v>
                </c:pt>
                <c:pt idx="4">
                  <c:v>81507</c:v>
                </c:pt>
                <c:pt idx="5">
                  <c:v>130066</c:v>
                </c:pt>
                <c:pt idx="6">
                  <c:v>175433</c:v>
                </c:pt>
                <c:pt idx="7">
                  <c:v>186625</c:v>
                </c:pt>
                <c:pt idx="8">
                  <c:v>128988</c:v>
                </c:pt>
                <c:pt idx="9">
                  <c:v>70889</c:v>
                </c:pt>
                <c:pt idx="10">
                  <c:v>18653</c:v>
                </c:pt>
                <c:pt idx="11">
                  <c:v>16365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C-440F-890E-A53B2E654368}"/>
            </c:ext>
          </c:extLst>
        </c:ser>
        <c:ser>
          <c:idx val="1"/>
          <c:order val="1"/>
          <c:tx>
            <c:strRef>
              <c:f>Pivot_Table_RM!$D$2:$D$3</c:f>
              <c:strCache>
                <c:ptCount val="1"/>
                <c:pt idx="0">
                  <c:v>Subscriber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Pivot_Table_RM!$A$4:$B$15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Pivot_Table_RM!$D$4:$D$15</c:f>
              <c:numCache>
                <c:formatCode>General</c:formatCode>
                <c:ptCount val="12"/>
                <c:pt idx="0">
                  <c:v>98601</c:v>
                </c:pt>
                <c:pt idx="1">
                  <c:v>93522</c:v>
                </c:pt>
                <c:pt idx="2">
                  <c:v>149659</c:v>
                </c:pt>
                <c:pt idx="3">
                  <c:v>217531</c:v>
                </c:pt>
                <c:pt idx="4">
                  <c:v>285793</c:v>
                </c:pt>
                <c:pt idx="5">
                  <c:v>345135</c:v>
                </c:pt>
                <c:pt idx="6">
                  <c:v>381615</c:v>
                </c:pt>
                <c:pt idx="7">
                  <c:v>403241</c:v>
                </c:pt>
                <c:pt idx="8">
                  <c:v>364004</c:v>
                </c:pt>
                <c:pt idx="9">
                  <c:v>300717</c:v>
                </c:pt>
                <c:pt idx="10">
                  <c:v>158401</c:v>
                </c:pt>
                <c:pt idx="11">
                  <c:v>138647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C-440F-890E-A53B2E65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620040"/>
        <c:axId val="936608776"/>
      </c:barChart>
      <c:catAx>
        <c:axId val="9366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08776"/>
        <c:crosses val="autoZero"/>
        <c:auto val="1"/>
        <c:lblAlgn val="ctr"/>
        <c:lblOffset val="100"/>
        <c:noMultiLvlLbl val="0"/>
      </c:catAx>
      <c:valAx>
        <c:axId val="93660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5</xdr:row>
      <xdr:rowOff>171450</xdr:rowOff>
    </xdr:from>
    <xdr:to>
      <xdr:col>21</xdr:col>
      <xdr:colOff>476250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DD778-04C5-D140-3738-2C36BC927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14</xdr:row>
      <xdr:rowOff>95250</xdr:rowOff>
    </xdr:from>
    <xdr:to>
      <xdr:col>9</xdr:col>
      <xdr:colOff>762000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36082-8AA3-0D11-4F51-A7A022F7D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3</xdr:row>
      <xdr:rowOff>114300</xdr:rowOff>
    </xdr:from>
    <xdr:to>
      <xdr:col>14</xdr:col>
      <xdr:colOff>438150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CA0BF-17BF-BEF1-568A-30ADD59AE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28575</xdr:rowOff>
    </xdr:from>
    <xdr:to>
      <xdr:col>6</xdr:col>
      <xdr:colOff>561975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1295B-CE89-4D1F-8B38-3ACF6E86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219075</xdr:colOff>
      <xdr:row>7</xdr:row>
      <xdr:rowOff>28575</xdr:rowOff>
    </xdr:from>
    <xdr:to>
      <xdr:col>14</xdr:col>
      <xdr:colOff>581025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5C40F6-FA7B-49B5-8556-036CAD6C401F}"/>
            </a:ext>
            <a:ext uri="{147F2762-F138-4A5C-976F-8EAC2B608ADB}">
              <a16:predDERef xmlns:a16="http://schemas.microsoft.com/office/drawing/2014/main" pred="{C951295B-CE89-4D1F-8B38-3ACF6E86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152400</xdr:colOff>
      <xdr:row>7</xdr:row>
      <xdr:rowOff>76200</xdr:rowOff>
    </xdr:from>
    <xdr:to>
      <xdr:col>23</xdr:col>
      <xdr:colOff>457200</xdr:colOff>
      <xdr:row>21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36F66-50B3-47A7-B1DF-3BE55862BC7B}"/>
            </a:ext>
            <a:ext uri="{147F2762-F138-4A5C-976F-8EAC2B608ADB}">
              <a16:predDERef xmlns:a16="http://schemas.microsoft.com/office/drawing/2014/main" pred="{065C40F6-FA7B-49B5-8556-036CAD6C4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0.019637731479" createdVersion="8" refreshedVersion="8" minRefreshableVersion="3" recordCount="48" xr:uid="{70B51F2A-B4BF-4E8D-B24D-3356092B0EF9}">
  <cacheSource type="worksheet">
    <worksheetSource name="excel_rides_by_hour"/>
  </cacheSource>
  <cacheFields count="3">
    <cacheField name="user_type" numFmtId="0">
      <sharedItems count="2">
        <s v="Customer"/>
        <s v="Subscriber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rides" numFmtId="0">
      <sharedItems containsSemiMixedTypes="0" containsString="0" containsNumber="1" containsInteger="1" minValue="1167" maxValue="3906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0.024712962964" createdVersion="8" refreshedVersion="8" minRefreshableVersion="3" recordCount="14" xr:uid="{0202CFF4-C7B6-402E-8E73-41E9247AA29D}">
  <cacheSource type="worksheet">
    <worksheetSource name="excel_rides_by_weekday_1"/>
  </cacheSource>
  <cacheFields count="4">
    <cacheField name="user_type" numFmtId="0">
      <sharedItems count="2">
        <s v="Customer"/>
        <s v="Subscriber"/>
      </sharedItems>
    </cacheField>
    <cacheField name="day_of_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rides" numFmtId="0">
      <sharedItems containsSemiMixedTypes="0" containsString="0" containsNumber="1" containsInteger="1" minValue="88495" maxValue="496951"/>
    </cacheField>
    <cacheField name="weekday_order" numFmtId="0">
      <sharedItems containsSemiMixedTypes="0" containsString="0" containsNumber="1" containsInteger="1" minValue="1" maxValue="7" count="7">
        <n v="7"/>
        <n v="1"/>
        <n v="2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0.037015509261" createdVersion="8" refreshedVersion="8" minRefreshableVersion="3" recordCount="24" xr:uid="{AFA1456B-B5F0-48F2-93CF-F19B8255FC6E}">
  <cacheSource type="worksheet">
    <worksheetSource name="excel_rides_by_month"/>
  </cacheSource>
  <cacheFields count="4">
    <cacheField name="user_type" numFmtId="0">
      <sharedItems count="2">
        <s v="Customer"/>
        <s v="Subscriber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rides" numFmtId="0">
      <sharedItems containsSemiMixedTypes="0" containsString="0" containsNumber="1" containsInteger="1" minValue="2627" maxValue="403241"/>
    </cacheField>
    <cacheField name="month_ord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8179"/>
  </r>
  <r>
    <x v="1"/>
    <x v="0"/>
    <n v="15867"/>
  </r>
  <r>
    <x v="0"/>
    <x v="1"/>
    <n v="5355"/>
  </r>
  <r>
    <x v="1"/>
    <x v="1"/>
    <n v="9029"/>
  </r>
  <r>
    <x v="0"/>
    <x v="2"/>
    <n v="3313"/>
  </r>
  <r>
    <x v="1"/>
    <x v="2"/>
    <n v="5326"/>
  </r>
  <r>
    <x v="0"/>
    <x v="3"/>
    <n v="1908"/>
  </r>
  <r>
    <x v="1"/>
    <x v="3"/>
    <n v="3680"/>
  </r>
  <r>
    <x v="0"/>
    <x v="4"/>
    <n v="1167"/>
  </r>
  <r>
    <x v="1"/>
    <x v="4"/>
    <n v="6614"/>
  </r>
  <r>
    <x v="0"/>
    <x v="5"/>
    <n v="2606"/>
  </r>
  <r>
    <x v="1"/>
    <x v="5"/>
    <n v="33151"/>
  </r>
  <r>
    <x v="0"/>
    <x v="6"/>
    <n v="6077"/>
  </r>
  <r>
    <x v="1"/>
    <x v="6"/>
    <n v="102130"/>
  </r>
  <r>
    <x v="0"/>
    <x v="7"/>
    <n v="12853"/>
  </r>
  <r>
    <x v="1"/>
    <x v="7"/>
    <n v="224826"/>
  </r>
  <r>
    <x v="0"/>
    <x v="8"/>
    <n v="21770"/>
  </r>
  <r>
    <x v="1"/>
    <x v="8"/>
    <n v="283941"/>
  </r>
  <r>
    <x v="0"/>
    <x v="9"/>
    <n v="28655"/>
  </r>
  <r>
    <x v="1"/>
    <x v="9"/>
    <n v="135109"/>
  </r>
  <r>
    <x v="0"/>
    <x v="10"/>
    <n v="44712"/>
  </r>
  <r>
    <x v="1"/>
    <x v="10"/>
    <n v="100686"/>
  </r>
  <r>
    <x v="0"/>
    <x v="11"/>
    <n v="59969"/>
  </r>
  <r>
    <x v="1"/>
    <x v="11"/>
    <n v="119915"/>
  </r>
  <r>
    <x v="0"/>
    <x v="12"/>
    <n v="69517"/>
  </r>
  <r>
    <x v="1"/>
    <x v="12"/>
    <n v="136645"/>
  </r>
  <r>
    <x v="0"/>
    <x v="13"/>
    <n v="75084"/>
  </r>
  <r>
    <x v="1"/>
    <x v="13"/>
    <n v="131920"/>
  </r>
  <r>
    <x v="0"/>
    <x v="14"/>
    <n v="78358"/>
  </r>
  <r>
    <x v="1"/>
    <x v="14"/>
    <n v="127892"/>
  </r>
  <r>
    <x v="0"/>
    <x v="15"/>
    <n v="80001"/>
  </r>
  <r>
    <x v="1"/>
    <x v="15"/>
    <n v="163317"/>
  </r>
  <r>
    <x v="0"/>
    <x v="16"/>
    <n v="82751"/>
  </r>
  <r>
    <x v="1"/>
    <x v="16"/>
    <n v="292860"/>
  </r>
  <r>
    <x v="0"/>
    <x v="17"/>
    <n v="84343"/>
  </r>
  <r>
    <x v="1"/>
    <x v="17"/>
    <n v="390619"/>
  </r>
  <r>
    <x v="0"/>
    <x v="18"/>
    <n v="67928"/>
  </r>
  <r>
    <x v="1"/>
    <x v="18"/>
    <n v="247176"/>
  </r>
  <r>
    <x v="0"/>
    <x v="19"/>
    <n v="50295"/>
  </r>
  <r>
    <x v="1"/>
    <x v="19"/>
    <n v="158353"/>
  </r>
  <r>
    <x v="0"/>
    <x v="20"/>
    <n v="34331"/>
  </r>
  <r>
    <x v="1"/>
    <x v="20"/>
    <n v="99735"/>
  </r>
  <r>
    <x v="0"/>
    <x v="21"/>
    <n v="24876"/>
  </r>
  <r>
    <x v="1"/>
    <x v="21"/>
    <n v="71245"/>
  </r>
  <r>
    <x v="0"/>
    <x v="22"/>
    <n v="21120"/>
  </r>
  <r>
    <x v="1"/>
    <x v="22"/>
    <n v="48522"/>
  </r>
  <r>
    <x v="0"/>
    <x v="23"/>
    <n v="14122"/>
  </r>
  <r>
    <x v="1"/>
    <x v="23"/>
    <n v="283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169941"/>
    <x v="0"/>
  </r>
  <r>
    <x v="1"/>
    <x v="0"/>
    <n v="256191"/>
    <x v="0"/>
  </r>
  <r>
    <x v="0"/>
    <x v="1"/>
    <n v="101356"/>
    <x v="1"/>
  </r>
  <r>
    <x v="1"/>
    <x v="1"/>
    <n v="458714"/>
    <x v="1"/>
  </r>
  <r>
    <x v="0"/>
    <x v="2"/>
    <n v="88495"/>
    <x v="2"/>
  </r>
  <r>
    <x v="1"/>
    <x v="2"/>
    <n v="496951"/>
    <x v="2"/>
  </r>
  <r>
    <x v="0"/>
    <x v="3"/>
    <n v="89601"/>
    <x v="3"/>
  </r>
  <r>
    <x v="1"/>
    <x v="3"/>
    <n v="494205"/>
    <x v="3"/>
  </r>
  <r>
    <x v="0"/>
    <x v="4"/>
    <n v="101203"/>
    <x v="4"/>
  </r>
  <r>
    <x v="1"/>
    <x v="4"/>
    <n v="486837"/>
    <x v="4"/>
  </r>
  <r>
    <x v="0"/>
    <x v="5"/>
    <n v="120934"/>
    <x v="5"/>
  </r>
  <r>
    <x v="1"/>
    <x v="5"/>
    <n v="456890"/>
    <x v="5"/>
  </r>
  <r>
    <x v="0"/>
    <x v="6"/>
    <n v="207760"/>
    <x v="6"/>
  </r>
  <r>
    <x v="1"/>
    <x v="6"/>
    <n v="287078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4591"/>
    <x v="0"/>
  </r>
  <r>
    <x v="1"/>
    <x v="0"/>
    <n v="98601"/>
    <x v="0"/>
  </r>
  <r>
    <x v="0"/>
    <x v="1"/>
    <n v="2627"/>
    <x v="1"/>
  </r>
  <r>
    <x v="1"/>
    <x v="1"/>
    <n v="93522"/>
    <x v="1"/>
  </r>
  <r>
    <x v="0"/>
    <x v="2"/>
    <n v="15877"/>
    <x v="2"/>
  </r>
  <r>
    <x v="1"/>
    <x v="2"/>
    <n v="149659"/>
    <x v="2"/>
  </r>
  <r>
    <x v="0"/>
    <x v="3"/>
    <n v="47669"/>
    <x v="3"/>
  </r>
  <r>
    <x v="1"/>
    <x v="3"/>
    <n v="217531"/>
    <x v="3"/>
  </r>
  <r>
    <x v="0"/>
    <x v="4"/>
    <n v="81507"/>
    <x v="4"/>
  </r>
  <r>
    <x v="1"/>
    <x v="4"/>
    <n v="285793"/>
    <x v="4"/>
  </r>
  <r>
    <x v="0"/>
    <x v="5"/>
    <n v="130066"/>
    <x v="5"/>
  </r>
  <r>
    <x v="1"/>
    <x v="5"/>
    <n v="345135"/>
    <x v="5"/>
  </r>
  <r>
    <x v="0"/>
    <x v="6"/>
    <n v="175433"/>
    <x v="6"/>
  </r>
  <r>
    <x v="1"/>
    <x v="6"/>
    <n v="381615"/>
    <x v="6"/>
  </r>
  <r>
    <x v="0"/>
    <x v="7"/>
    <n v="186625"/>
    <x v="7"/>
  </r>
  <r>
    <x v="1"/>
    <x v="7"/>
    <n v="403241"/>
    <x v="7"/>
  </r>
  <r>
    <x v="0"/>
    <x v="8"/>
    <n v="128988"/>
    <x v="8"/>
  </r>
  <r>
    <x v="1"/>
    <x v="8"/>
    <n v="364004"/>
    <x v="8"/>
  </r>
  <r>
    <x v="0"/>
    <x v="9"/>
    <n v="70889"/>
    <x v="9"/>
  </r>
  <r>
    <x v="1"/>
    <x v="9"/>
    <n v="300717"/>
    <x v="9"/>
  </r>
  <r>
    <x v="0"/>
    <x v="10"/>
    <n v="18653"/>
    <x v="10"/>
  </r>
  <r>
    <x v="1"/>
    <x v="10"/>
    <n v="158401"/>
    <x v="10"/>
  </r>
  <r>
    <x v="0"/>
    <x v="11"/>
    <n v="16365"/>
    <x v="11"/>
  </r>
  <r>
    <x v="1"/>
    <x v="11"/>
    <n v="138647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C1B40-3626-4079-AEF8-4E331EC57EEF}" name="PivotTable2" cacheId="9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2:C27" firstHeaderRow="1" firstDataRow="2" firstDataCol="1"/>
  <pivotFields count="3"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outline="0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2">
    <i>
      <x/>
    </i>
    <i>
      <x v="1"/>
    </i>
  </colItems>
  <dataFields count="1">
    <dataField name="Sum of rides" fld="2" baseField="0" baseItem="0"/>
  </dataFields>
  <formats count="8">
    <format dxfId="44">
      <pivotArea type="all" dataOnly="0" outline="0" fieldPosition="0"/>
    </format>
    <format dxfId="45">
      <pivotArea outline="0" collapsedLevelsAreSubtotals="1" fieldPosition="0"/>
    </format>
    <format dxfId="46">
      <pivotArea type="origin" dataOnly="0" labelOnly="1" outline="0" fieldPosition="0"/>
    </format>
    <format dxfId="47">
      <pivotArea field="0" type="button" dataOnly="0" labelOnly="1" outline="0" axis="axisCol" fieldPosition="0"/>
    </format>
    <format dxfId="48">
      <pivotArea type="topRight" dataOnly="0" labelOnly="1" outline="0" fieldPosition="0"/>
    </format>
    <format dxfId="49">
      <pivotArea field="1" type="button" dataOnly="0" labelOnly="1" outline="0" axis="axisRow" fieldPosition="0"/>
    </format>
    <format dxfId="50">
      <pivotArea dataOnly="0" labelOnly="1" outline="0" fieldPosition="0">
        <references count="1">
          <reference field="1" count="0"/>
        </references>
      </pivotArea>
    </format>
    <format dxfId="51">
      <pivotArea dataOnly="0" labelOnly="1" outline="0" fieldPosition="0">
        <references count="1">
          <reference field="0" count="0"/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7F30A-7D60-4882-9411-E44DA69B27EC}" name="PivotTable1" cacheId="996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10">
  <location ref="A3:D11" firstHeaderRow="1" firstDataRow="2" firstDataCol="2"/>
  <pivotFields count="4"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7">
        <item x="5"/>
        <item x="1"/>
        <item x="6"/>
        <item x="0"/>
        <item x="4"/>
        <item x="2"/>
        <item x="3"/>
      </items>
    </pivotField>
    <pivotField dataField="1" compact="0" outline="0" showAll="0" defaultSubtotal="0"/>
    <pivotField axis="axisRow" compact="0" outline="0" showAll="0" defaultSubtotal="0">
      <items count="7">
        <item x="1"/>
        <item x="2"/>
        <item x="3"/>
        <item x="4"/>
        <item x="5"/>
        <item x="6"/>
        <item x="0"/>
      </items>
    </pivotField>
  </pivotFields>
  <rowFields count="2">
    <field x="3"/>
    <field x="1"/>
  </rowFields>
  <rowItems count="7">
    <i>
      <x/>
      <x v="1"/>
    </i>
    <i>
      <x v="1"/>
      <x v="5"/>
    </i>
    <i>
      <x v="2"/>
      <x v="6"/>
    </i>
    <i>
      <x v="3"/>
      <x v="4"/>
    </i>
    <i>
      <x v="4"/>
      <x/>
    </i>
    <i>
      <x v="5"/>
      <x v="2"/>
    </i>
    <i>
      <x v="6"/>
      <x v="3"/>
    </i>
  </rowItems>
  <colFields count="1">
    <field x="0"/>
  </colFields>
  <colItems count="2">
    <i>
      <x/>
    </i>
    <i>
      <x v="1"/>
    </i>
  </colItems>
  <dataFields count="1">
    <dataField name="Sum of rides" fld="2" baseField="0" baseItem="0"/>
  </dataFields>
  <formats count="16"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0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4">
      <pivotArea field="1" type="button" dataOnly="0" labelOnly="1" outline="0" axis="axisRow" fieldPosition="1"/>
    </format>
    <format dxfId="35">
      <pivotArea dataOnly="0" labelOnly="1" outline="0" fieldPosition="0">
        <references count="1">
          <reference field="3" count="0"/>
        </references>
      </pivotArea>
    </format>
    <format dxfId="36">
      <pivotArea dataOnly="0" labelOnly="1" outline="0" fieldPosition="0">
        <references count="2">
          <reference field="1" count="1">
            <x v="1"/>
          </reference>
          <reference field="3" count="1" selected="0">
            <x v="0"/>
          </reference>
        </references>
      </pivotArea>
    </format>
    <format dxfId="37">
      <pivotArea dataOnly="0" labelOnly="1" outline="0" fieldPosition="0">
        <references count="2">
          <reference field="1" count="1">
            <x v="5"/>
          </reference>
          <reference field="3" count="1" selected="0">
            <x v="1"/>
          </reference>
        </references>
      </pivotArea>
    </format>
    <format dxfId="38">
      <pivotArea dataOnly="0" labelOnly="1" outline="0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39">
      <pivotArea dataOnly="0" labelOnly="1" outline="0" fieldPosition="0">
        <references count="2">
          <reference field="1" count="1">
            <x v="4"/>
          </reference>
          <reference field="3" count="1" selected="0">
            <x v="3"/>
          </reference>
        </references>
      </pivotArea>
    </format>
    <format dxfId="40">
      <pivotArea dataOnly="0" labelOnly="1" outline="0" fieldPosition="0">
        <references count="2">
          <reference field="1" count="1">
            <x v="0"/>
          </reference>
          <reference field="3" count="1" selected="0">
            <x v="4"/>
          </reference>
        </references>
      </pivotArea>
    </format>
    <format dxfId="41">
      <pivotArea dataOnly="0" labelOnly="1" outline="0" fieldPosition="0">
        <references count="2">
          <reference field="1" count="1">
            <x v="2"/>
          </reference>
          <reference field="3" count="1" selected="0">
            <x v="5"/>
          </reference>
        </references>
      </pivotArea>
    </format>
    <format dxfId="42">
      <pivotArea dataOnly="0" labelOnly="1" outline="0" fieldPosition="0">
        <references count="2">
          <reference field="1" count="1">
            <x v="3"/>
          </reference>
          <reference field="3" count="1" selected="0">
            <x v="6"/>
          </reference>
        </references>
      </pivotArea>
    </format>
    <format dxfId="43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015AC-29D5-403C-BC98-5DC975C894DF}" name="PivotTable3" cacheId="997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5">
  <location ref="A2:D15" firstHeaderRow="1" firstDataRow="2" firstDataCol="2"/>
  <pivotFields count="4"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12">
        <item x="3"/>
        <item x="7"/>
        <item x="11"/>
        <item x="1"/>
        <item x="0"/>
        <item x="6"/>
        <item x="5"/>
        <item x="2"/>
        <item x="4"/>
        <item x="10"/>
        <item x="9"/>
        <item x="8"/>
      </items>
    </pivotField>
    <pivotField dataField="1"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3"/>
    <field x="1"/>
  </rowFields>
  <rowItems count="12">
    <i>
      <x/>
      <x v="4"/>
    </i>
    <i>
      <x v="1"/>
      <x v="3"/>
    </i>
    <i>
      <x v="2"/>
      <x v="7"/>
    </i>
    <i>
      <x v="3"/>
      <x/>
    </i>
    <i>
      <x v="4"/>
      <x v="8"/>
    </i>
    <i>
      <x v="5"/>
      <x v="6"/>
    </i>
    <i>
      <x v="6"/>
      <x v="5"/>
    </i>
    <i>
      <x v="7"/>
      <x v="1"/>
    </i>
    <i>
      <x v="8"/>
      <x v="11"/>
    </i>
    <i>
      <x v="9"/>
      <x v="10"/>
    </i>
    <i>
      <x v="10"/>
      <x v="9"/>
    </i>
    <i>
      <x v="11"/>
      <x v="2"/>
    </i>
  </rowItems>
  <colFields count="1">
    <field x="0"/>
  </colFields>
  <colItems count="2">
    <i>
      <x/>
    </i>
    <i>
      <x v="1"/>
    </i>
  </colItems>
  <dataFields count="1">
    <dataField name="Sum of rides" fld="2" baseField="0" baseItem="0"/>
  </dataFields>
  <formats count="21">
    <format dxfId="7">
      <pivotArea type="all" dataOnly="0" outline="0" fieldPosition="0"/>
    </format>
    <format dxfId="8">
      <pivotArea outline="0" collapsedLevelsAreSubtotals="1" fieldPosition="0"/>
    </format>
    <format dxfId="9">
      <pivotArea type="origin" dataOnly="0" labelOnly="1" outline="0" fieldPosition="0"/>
    </format>
    <format dxfId="10">
      <pivotArea field="0" type="button" dataOnly="0" labelOnly="1" outline="0" axis="axisCol" fieldPosition="0"/>
    </format>
    <format dxfId="11">
      <pivotArea type="topRight" dataOnly="0" labelOnly="1" outline="0" fieldPosition="0"/>
    </format>
    <format dxfId="12">
      <pivotArea field="3" type="button" dataOnly="0" labelOnly="1" outline="0" axis="axisRow" fieldPosition="0"/>
    </format>
    <format dxfId="13">
      <pivotArea field="1" type="button" dataOnly="0" labelOnly="1" outline="0" axis="axisRow" fieldPosition="1"/>
    </format>
    <format dxfId="14">
      <pivotArea dataOnly="0" labelOnly="1" outline="0" fieldPosition="0">
        <references count="1">
          <reference field="3" count="0"/>
        </references>
      </pivotArea>
    </format>
    <format dxfId="15">
      <pivotArea dataOnly="0" labelOnly="1" outline="0" fieldPosition="0">
        <references count="2">
          <reference field="1" count="1">
            <x v="4"/>
          </reference>
          <reference field="3" count="1" selected="0">
            <x v="0"/>
          </reference>
        </references>
      </pivotArea>
    </format>
    <format dxfId="16">
      <pivotArea dataOnly="0" labelOnly="1" outline="0" fieldPosition="0">
        <references count="2">
          <reference field="1" count="1">
            <x v="3"/>
          </reference>
          <reference field="3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1" count="1">
            <x v="7"/>
          </reference>
          <reference field="3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19">
      <pivotArea dataOnly="0" labelOnly="1" outline="0" fieldPosition="0">
        <references count="2">
          <reference field="1" count="1">
            <x v="8"/>
          </reference>
          <reference field="3" count="1" selected="0">
            <x v="4"/>
          </reference>
        </references>
      </pivotArea>
    </format>
    <format dxfId="20">
      <pivotArea dataOnly="0" labelOnly="1" outline="0" fieldPosition="0">
        <references count="2">
          <reference field="1" count="1">
            <x v="6"/>
          </reference>
          <reference field="3" count="1" selected="0">
            <x v="5"/>
          </reference>
        </references>
      </pivotArea>
    </format>
    <format dxfId="21">
      <pivotArea dataOnly="0" labelOnly="1" outline="0" fieldPosition="0">
        <references count="2">
          <reference field="1" count="1">
            <x v="5"/>
          </reference>
          <reference field="3" count="1" selected="0">
            <x v="6"/>
          </reference>
        </references>
      </pivotArea>
    </format>
    <format dxfId="22">
      <pivotArea dataOnly="0" labelOnly="1" outline="0" fieldPosition="0">
        <references count="2">
          <reference field="1" count="1">
            <x v="1"/>
          </reference>
          <reference field="3" count="1" selected="0">
            <x v="7"/>
          </reference>
        </references>
      </pivotArea>
    </format>
    <format dxfId="23">
      <pivotArea dataOnly="0" labelOnly="1" outline="0" fieldPosition="0">
        <references count="2">
          <reference field="1" count="1">
            <x v="11"/>
          </reference>
          <reference field="3" count="1" selected="0">
            <x v="8"/>
          </reference>
        </references>
      </pivotArea>
    </format>
    <format dxfId="24">
      <pivotArea dataOnly="0" labelOnly="1" outline="0" fieldPosition="0">
        <references count="2">
          <reference field="1" count="1">
            <x v="10"/>
          </reference>
          <reference field="3" count="1" selected="0">
            <x v="9"/>
          </reference>
        </references>
      </pivotArea>
    </format>
    <format dxfId="25">
      <pivotArea dataOnly="0" labelOnly="1" outline="0" fieldPosition="0">
        <references count="2">
          <reference field="1" count="1">
            <x v="9"/>
          </reference>
          <reference field="3" count="1" selected="0">
            <x v="10"/>
          </reference>
        </references>
      </pivotArea>
    </format>
    <format dxfId="26">
      <pivotArea dataOnly="0" labelOnly="1" outline="0" fieldPosition="0">
        <references count="2">
          <reference field="1" count="1">
            <x v="2"/>
          </reference>
          <reference field="3" count="1" selected="0">
            <x v="11"/>
          </reference>
        </references>
      </pivotArea>
    </format>
    <format dxfId="27">
      <pivotArea dataOnly="0" labelOnly="1" outline="0" fieldPosition="0">
        <references count="1">
          <reference field="0" count="0"/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508536-666F-47C8-B08C-8A58738CD360}" autoFormatId="16" applyNumberFormats="0" applyBorderFormats="0" applyFontFormats="0" applyPatternFormats="0" applyAlignmentFormats="0" applyWidthHeightFormats="0">
  <queryTableRefresh nextId="5">
    <queryTableFields count="4">
      <queryTableField id="1" name="user_type" tableColumnId="1"/>
      <queryTableField id="2" name="rides" tableColumnId="2"/>
      <queryTableField id="3" name="avg_duration_min" tableColumnId="3"/>
      <queryTableField id="4" name="median_duration_mi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5828C5-9032-41AF-9BC0-B96DBEC34B97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user_type" tableColumnId="1"/>
      <queryTableField id="2" name="day_of_week" tableColumnId="2"/>
      <queryTableField id="3" name="rides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689EEB9-B02B-473C-B437-5686D1F99470}" autoFormatId="16" applyNumberFormats="0" applyBorderFormats="0" applyFontFormats="0" applyPatternFormats="0" applyAlignmentFormats="0" applyWidthHeightFormats="0">
  <queryTableRefresh nextId="4">
    <queryTableFields count="3">
      <queryTableField id="1" name="user_type" tableColumnId="1"/>
      <queryTableField id="2" name="hour" tableColumnId="2"/>
      <queryTableField id="3" name="rid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5828C1-F022-4614-B927-A5CF2FEADCE4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user_type" tableColumnId="1"/>
      <queryTableField id="2" name="month" tableColumnId="2"/>
      <queryTableField id="3" name="rides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ED26F-4AD2-42AE-8215-86B8FFA2DF58}" name="excel_kpi_summary" displayName="excel_kpi_summary" ref="A1:D3" tableType="queryTable" totalsRowShown="0">
  <autoFilter ref="A1:D3" xr:uid="{6DAED26F-4AD2-42AE-8215-86B8FFA2DF58}"/>
  <tableColumns count="4">
    <tableColumn id="1" xr3:uid="{A3D4F22A-F586-4BE2-86AB-67C8CD9DAC72}" uniqueName="1" name="user_type" queryTableFieldId="1" dataDxfId="6"/>
    <tableColumn id="2" xr3:uid="{8EEE6FF1-D92D-4992-893B-0CA727CC0E16}" uniqueName="2" name="rides" queryTableFieldId="2" dataDxfId="5"/>
    <tableColumn id="3" xr3:uid="{D6F9939C-E310-4EBB-A502-1A9609DABFEF}" uniqueName="3" name="avg_duration_min" queryTableFieldId="3"/>
    <tableColumn id="4" xr3:uid="{322078A0-3B5A-48C0-A9BD-04CFA81DC996}" uniqueName="4" name="median_duration_mi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03921E-BC0F-467D-A177-1F1C70180576}" name="excel_rides_by_weekday_1" displayName="excel_rides_by_weekday_1" ref="A1:D15" tableType="queryTable" totalsRowShown="0">
  <autoFilter ref="A1:D15" xr:uid="{8E03921E-BC0F-467D-A177-1F1C70180576}"/>
  <tableColumns count="4">
    <tableColumn id="1" xr3:uid="{15B8C178-DA98-46E6-9999-8C271518C96C}" uniqueName="1" name="user_type" queryTableFieldId="1" dataDxfId="4"/>
    <tableColumn id="2" xr3:uid="{88BB932D-66AA-44BB-8C47-3117D304E2A7}" uniqueName="2" name="day_of_week" queryTableFieldId="2" dataDxfId="3"/>
    <tableColumn id="3" xr3:uid="{8DCB32D3-182D-4993-939E-30341363E8DE}" uniqueName="3" name="rides" queryTableFieldId="3"/>
    <tableColumn id="4" xr3:uid="{73E5022A-84EA-443F-A8D5-5CE097F1D90C}" uniqueName="4" name="weekday_order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02C94-1247-41B0-9AA4-5F3A6B610B92}" name="excel_rides_by_hour" displayName="excel_rides_by_hour" ref="A1:C49" tableType="queryTable" totalsRowShown="0">
  <autoFilter ref="A1:C49" xr:uid="{2BC02C94-1247-41B0-9AA4-5F3A6B610B92}"/>
  <tableColumns count="3">
    <tableColumn id="1" xr3:uid="{9386A734-EE8C-4155-A704-EC4225F583E5}" uniqueName="1" name="user_type" queryTableFieldId="1" dataDxfId="2"/>
    <tableColumn id="2" xr3:uid="{B974CCA9-730C-4386-B62D-303C4E6DBCD5}" uniqueName="2" name="hour" queryTableFieldId="2"/>
    <tableColumn id="3" xr3:uid="{E3C0895A-058E-4B36-9F89-B9987B13FC8A}" uniqueName="3" name="rid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6CB214-E1C4-4DC4-98DF-BFE0F61E3396}" name="excel_rides_by_month" displayName="excel_rides_by_month" ref="A1:D25" tableType="queryTable" totalsRowShown="0">
  <autoFilter ref="A1:D25" xr:uid="{346CB214-E1C4-4DC4-98DF-BFE0F61E3396}"/>
  <tableColumns count="4">
    <tableColumn id="1" xr3:uid="{54A5E22C-23C4-44DE-A378-0E9B2C11678F}" uniqueName="1" name="user_type" queryTableFieldId="1" dataDxfId="1"/>
    <tableColumn id="2" xr3:uid="{CB244F4E-6EA4-4366-B93C-1D6C772770B4}" uniqueName="2" name="month" queryTableFieldId="2" dataDxfId="0"/>
    <tableColumn id="3" xr3:uid="{B9F112DC-36AE-4E50-BCEC-C9337A0D0411}" uniqueName="3" name="rides" queryTableFieldId="3"/>
    <tableColumn id="4" xr3:uid="{7CC521B6-3EED-4738-8F20-F9D259849AB0}" uniqueName="4" name="month_ord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FB93-C37C-4365-8F5F-469C82D50173}">
  <dimension ref="A1:D3"/>
  <sheetViews>
    <sheetView workbookViewId="0">
      <selection activeCell="B2" sqref="B2:B3"/>
    </sheetView>
  </sheetViews>
  <sheetFormatPr defaultRowHeight="15"/>
  <cols>
    <col min="1" max="1" width="12" bestFit="1" customWidth="1"/>
    <col min="2" max="2" width="15" bestFit="1" customWidth="1"/>
    <col min="3" max="3" width="19.28515625" bestFit="1" customWidth="1"/>
    <col min="4" max="4" width="2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5">
        <v>879290</v>
      </c>
      <c r="C2">
        <v>39.43</v>
      </c>
      <c r="D2">
        <v>25.78</v>
      </c>
    </row>
    <row r="3" spans="1:4">
      <c r="A3" t="s">
        <v>5</v>
      </c>
      <c r="B3" s="5">
        <v>2936866</v>
      </c>
      <c r="C3">
        <v>12.93</v>
      </c>
      <c r="D3">
        <v>9.8000000000000007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3531-D73A-4C0A-BCCA-0C1F3DA53A01}">
  <dimension ref="A1:D15"/>
  <sheetViews>
    <sheetView workbookViewId="0">
      <selection activeCell="I21" sqref="I21"/>
    </sheetView>
  </sheetViews>
  <sheetFormatPr defaultRowHeight="15"/>
  <cols>
    <col min="1" max="1" width="12" bestFit="1" customWidth="1"/>
    <col min="2" max="2" width="14.7109375" bestFit="1" customWidth="1"/>
    <col min="3" max="3" width="7.85546875" bestFit="1" customWidth="1"/>
    <col min="4" max="4" width="16.42578125" customWidth="1"/>
  </cols>
  <sheetData>
    <row r="1" spans="1:4">
      <c r="A1" t="s">
        <v>0</v>
      </c>
      <c r="B1" t="s">
        <v>6</v>
      </c>
      <c r="C1" t="s">
        <v>1</v>
      </c>
      <c r="D1" t="s">
        <v>7</v>
      </c>
    </row>
    <row r="2" spans="1:4">
      <c r="A2" t="s">
        <v>4</v>
      </c>
      <c r="B2" t="s">
        <v>8</v>
      </c>
      <c r="C2">
        <v>169941</v>
      </c>
      <c r="D2">
        <v>7</v>
      </c>
    </row>
    <row r="3" spans="1:4">
      <c r="A3" t="s">
        <v>5</v>
      </c>
      <c r="B3" t="s">
        <v>8</v>
      </c>
      <c r="C3">
        <v>256191</v>
      </c>
      <c r="D3">
        <v>7</v>
      </c>
    </row>
    <row r="4" spans="1:4">
      <c r="A4" t="s">
        <v>4</v>
      </c>
      <c r="B4" t="s">
        <v>9</v>
      </c>
      <c r="C4">
        <v>101356</v>
      </c>
      <c r="D4">
        <v>1</v>
      </c>
    </row>
    <row r="5" spans="1:4">
      <c r="A5" t="s">
        <v>5</v>
      </c>
      <c r="B5" t="s">
        <v>9</v>
      </c>
      <c r="C5">
        <v>458714</v>
      </c>
      <c r="D5">
        <v>1</v>
      </c>
    </row>
    <row r="6" spans="1:4">
      <c r="A6" t="s">
        <v>4</v>
      </c>
      <c r="B6" t="s">
        <v>10</v>
      </c>
      <c r="C6">
        <v>88495</v>
      </c>
      <c r="D6">
        <v>2</v>
      </c>
    </row>
    <row r="7" spans="1:4">
      <c r="A7" t="s">
        <v>5</v>
      </c>
      <c r="B7" t="s">
        <v>10</v>
      </c>
      <c r="C7">
        <v>496951</v>
      </c>
      <c r="D7">
        <v>2</v>
      </c>
    </row>
    <row r="8" spans="1:4">
      <c r="A8" t="s">
        <v>4</v>
      </c>
      <c r="B8" t="s">
        <v>11</v>
      </c>
      <c r="C8">
        <v>89601</v>
      </c>
      <c r="D8">
        <v>3</v>
      </c>
    </row>
    <row r="9" spans="1:4">
      <c r="A9" t="s">
        <v>5</v>
      </c>
      <c r="B9" t="s">
        <v>11</v>
      </c>
      <c r="C9">
        <v>494205</v>
      </c>
      <c r="D9">
        <v>3</v>
      </c>
    </row>
    <row r="10" spans="1:4">
      <c r="A10" t="s">
        <v>4</v>
      </c>
      <c r="B10" t="s">
        <v>12</v>
      </c>
      <c r="C10">
        <v>101203</v>
      </c>
      <c r="D10">
        <v>4</v>
      </c>
    </row>
    <row r="11" spans="1:4">
      <c r="A11" t="s">
        <v>5</v>
      </c>
      <c r="B11" t="s">
        <v>12</v>
      </c>
      <c r="C11">
        <v>486837</v>
      </c>
      <c r="D11">
        <v>4</v>
      </c>
    </row>
    <row r="12" spans="1:4">
      <c r="A12" t="s">
        <v>4</v>
      </c>
      <c r="B12" t="s">
        <v>13</v>
      </c>
      <c r="C12">
        <v>120934</v>
      </c>
      <c r="D12">
        <v>5</v>
      </c>
    </row>
    <row r="13" spans="1:4">
      <c r="A13" t="s">
        <v>5</v>
      </c>
      <c r="B13" t="s">
        <v>13</v>
      </c>
      <c r="C13">
        <v>456890</v>
      </c>
      <c r="D13">
        <v>5</v>
      </c>
    </row>
    <row r="14" spans="1:4">
      <c r="A14" t="s">
        <v>4</v>
      </c>
      <c r="B14" t="s">
        <v>14</v>
      </c>
      <c r="C14">
        <v>207760</v>
      </c>
      <c r="D14">
        <v>6</v>
      </c>
    </row>
    <row r="15" spans="1:4">
      <c r="A15" t="s">
        <v>5</v>
      </c>
      <c r="B15" t="s">
        <v>14</v>
      </c>
      <c r="C15">
        <v>287078</v>
      </c>
      <c r="D15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E53D-5A41-41C8-974A-7E4664A3EB64}">
  <dimension ref="A1:C49"/>
  <sheetViews>
    <sheetView workbookViewId="0"/>
  </sheetViews>
  <sheetFormatPr defaultRowHeight="15"/>
  <cols>
    <col min="1" max="1" width="12" bestFit="1" customWidth="1"/>
    <col min="2" max="2" width="7.5703125" bestFit="1" customWidth="1"/>
    <col min="3" max="3" width="7.85546875" bestFit="1" customWidth="1"/>
  </cols>
  <sheetData>
    <row r="1" spans="1:3">
      <c r="A1" t="s">
        <v>0</v>
      </c>
      <c r="B1" t="s">
        <v>15</v>
      </c>
      <c r="C1" t="s">
        <v>1</v>
      </c>
    </row>
    <row r="2" spans="1:3">
      <c r="A2" t="s">
        <v>4</v>
      </c>
      <c r="B2">
        <v>0</v>
      </c>
      <c r="C2">
        <v>8179</v>
      </c>
    </row>
    <row r="3" spans="1:3">
      <c r="A3" t="s">
        <v>5</v>
      </c>
      <c r="B3">
        <v>0</v>
      </c>
      <c r="C3">
        <v>15867</v>
      </c>
    </row>
    <row r="4" spans="1:3">
      <c r="A4" t="s">
        <v>4</v>
      </c>
      <c r="B4">
        <v>1</v>
      </c>
      <c r="C4">
        <v>5355</v>
      </c>
    </row>
    <row r="5" spans="1:3">
      <c r="A5" t="s">
        <v>5</v>
      </c>
      <c r="B5">
        <v>1</v>
      </c>
      <c r="C5">
        <v>9029</v>
      </c>
    </row>
    <row r="6" spans="1:3">
      <c r="A6" t="s">
        <v>4</v>
      </c>
      <c r="B6">
        <v>2</v>
      </c>
      <c r="C6">
        <v>3313</v>
      </c>
    </row>
    <row r="7" spans="1:3">
      <c r="A7" t="s">
        <v>5</v>
      </c>
      <c r="B7">
        <v>2</v>
      </c>
      <c r="C7">
        <v>5326</v>
      </c>
    </row>
    <row r="8" spans="1:3">
      <c r="A8" t="s">
        <v>4</v>
      </c>
      <c r="B8">
        <v>3</v>
      </c>
      <c r="C8">
        <v>1908</v>
      </c>
    </row>
    <row r="9" spans="1:3">
      <c r="A9" t="s">
        <v>5</v>
      </c>
      <c r="B9">
        <v>3</v>
      </c>
      <c r="C9">
        <v>3680</v>
      </c>
    </row>
    <row r="10" spans="1:3">
      <c r="A10" t="s">
        <v>4</v>
      </c>
      <c r="B10">
        <v>4</v>
      </c>
      <c r="C10">
        <v>1167</v>
      </c>
    </row>
    <row r="11" spans="1:3">
      <c r="A11" t="s">
        <v>5</v>
      </c>
      <c r="B11">
        <v>4</v>
      </c>
      <c r="C11">
        <v>6614</v>
      </c>
    </row>
    <row r="12" spans="1:3">
      <c r="A12" t="s">
        <v>4</v>
      </c>
      <c r="B12">
        <v>5</v>
      </c>
      <c r="C12">
        <v>2606</v>
      </c>
    </row>
    <row r="13" spans="1:3">
      <c r="A13" t="s">
        <v>5</v>
      </c>
      <c r="B13">
        <v>5</v>
      </c>
      <c r="C13">
        <v>33151</v>
      </c>
    </row>
    <row r="14" spans="1:3">
      <c r="A14" t="s">
        <v>4</v>
      </c>
      <c r="B14">
        <v>6</v>
      </c>
      <c r="C14">
        <v>6077</v>
      </c>
    </row>
    <row r="15" spans="1:3">
      <c r="A15" t="s">
        <v>5</v>
      </c>
      <c r="B15">
        <v>6</v>
      </c>
      <c r="C15">
        <v>102130</v>
      </c>
    </row>
    <row r="16" spans="1:3">
      <c r="A16" t="s">
        <v>4</v>
      </c>
      <c r="B16">
        <v>7</v>
      </c>
      <c r="C16">
        <v>12853</v>
      </c>
    </row>
    <row r="17" spans="1:3">
      <c r="A17" t="s">
        <v>5</v>
      </c>
      <c r="B17">
        <v>7</v>
      </c>
      <c r="C17">
        <v>224826</v>
      </c>
    </row>
    <row r="18" spans="1:3">
      <c r="A18" t="s">
        <v>4</v>
      </c>
      <c r="B18">
        <v>8</v>
      </c>
      <c r="C18">
        <v>21770</v>
      </c>
    </row>
    <row r="19" spans="1:3">
      <c r="A19" t="s">
        <v>5</v>
      </c>
      <c r="B19">
        <v>8</v>
      </c>
      <c r="C19">
        <v>283941</v>
      </c>
    </row>
    <row r="20" spans="1:3">
      <c r="A20" t="s">
        <v>4</v>
      </c>
      <c r="B20">
        <v>9</v>
      </c>
      <c r="C20">
        <v>28655</v>
      </c>
    </row>
    <row r="21" spans="1:3">
      <c r="A21" t="s">
        <v>5</v>
      </c>
      <c r="B21">
        <v>9</v>
      </c>
      <c r="C21">
        <v>135109</v>
      </c>
    </row>
    <row r="22" spans="1:3">
      <c r="A22" t="s">
        <v>4</v>
      </c>
      <c r="B22">
        <v>10</v>
      </c>
      <c r="C22">
        <v>44712</v>
      </c>
    </row>
    <row r="23" spans="1:3">
      <c r="A23" t="s">
        <v>5</v>
      </c>
      <c r="B23">
        <v>10</v>
      </c>
      <c r="C23">
        <v>100686</v>
      </c>
    </row>
    <row r="24" spans="1:3">
      <c r="A24" t="s">
        <v>4</v>
      </c>
      <c r="B24">
        <v>11</v>
      </c>
      <c r="C24">
        <v>59969</v>
      </c>
    </row>
    <row r="25" spans="1:3">
      <c r="A25" t="s">
        <v>5</v>
      </c>
      <c r="B25">
        <v>11</v>
      </c>
      <c r="C25">
        <v>119915</v>
      </c>
    </row>
    <row r="26" spans="1:3">
      <c r="A26" t="s">
        <v>4</v>
      </c>
      <c r="B26">
        <v>12</v>
      </c>
      <c r="C26">
        <v>69517</v>
      </c>
    </row>
    <row r="27" spans="1:3">
      <c r="A27" t="s">
        <v>5</v>
      </c>
      <c r="B27">
        <v>12</v>
      </c>
      <c r="C27">
        <v>136645</v>
      </c>
    </row>
    <row r="28" spans="1:3">
      <c r="A28" t="s">
        <v>4</v>
      </c>
      <c r="B28">
        <v>13</v>
      </c>
      <c r="C28">
        <v>75084</v>
      </c>
    </row>
    <row r="29" spans="1:3">
      <c r="A29" t="s">
        <v>5</v>
      </c>
      <c r="B29">
        <v>13</v>
      </c>
      <c r="C29">
        <v>131920</v>
      </c>
    </row>
    <row r="30" spans="1:3">
      <c r="A30" t="s">
        <v>4</v>
      </c>
      <c r="B30">
        <v>14</v>
      </c>
      <c r="C30">
        <v>78358</v>
      </c>
    </row>
    <row r="31" spans="1:3">
      <c r="A31" t="s">
        <v>5</v>
      </c>
      <c r="B31">
        <v>14</v>
      </c>
      <c r="C31">
        <v>127892</v>
      </c>
    </row>
    <row r="32" spans="1:3">
      <c r="A32" t="s">
        <v>4</v>
      </c>
      <c r="B32">
        <v>15</v>
      </c>
      <c r="C32">
        <v>80001</v>
      </c>
    </row>
    <row r="33" spans="1:3">
      <c r="A33" t="s">
        <v>5</v>
      </c>
      <c r="B33">
        <v>15</v>
      </c>
      <c r="C33">
        <v>163317</v>
      </c>
    </row>
    <row r="34" spans="1:3">
      <c r="A34" t="s">
        <v>4</v>
      </c>
      <c r="B34">
        <v>16</v>
      </c>
      <c r="C34">
        <v>82751</v>
      </c>
    </row>
    <row r="35" spans="1:3">
      <c r="A35" t="s">
        <v>5</v>
      </c>
      <c r="B35">
        <v>16</v>
      </c>
      <c r="C35">
        <v>292860</v>
      </c>
    </row>
    <row r="36" spans="1:3">
      <c r="A36" t="s">
        <v>4</v>
      </c>
      <c r="B36">
        <v>17</v>
      </c>
      <c r="C36">
        <v>84343</v>
      </c>
    </row>
    <row r="37" spans="1:3">
      <c r="A37" t="s">
        <v>5</v>
      </c>
      <c r="B37">
        <v>17</v>
      </c>
      <c r="C37">
        <v>390619</v>
      </c>
    </row>
    <row r="38" spans="1:3">
      <c r="A38" t="s">
        <v>4</v>
      </c>
      <c r="B38">
        <v>18</v>
      </c>
      <c r="C38">
        <v>67928</v>
      </c>
    </row>
    <row r="39" spans="1:3">
      <c r="A39" t="s">
        <v>5</v>
      </c>
      <c r="B39">
        <v>18</v>
      </c>
      <c r="C39">
        <v>247176</v>
      </c>
    </row>
    <row r="40" spans="1:3">
      <c r="A40" t="s">
        <v>4</v>
      </c>
      <c r="B40">
        <v>19</v>
      </c>
      <c r="C40">
        <v>50295</v>
      </c>
    </row>
    <row r="41" spans="1:3">
      <c r="A41" t="s">
        <v>5</v>
      </c>
      <c r="B41">
        <v>19</v>
      </c>
      <c r="C41">
        <v>158353</v>
      </c>
    </row>
    <row r="42" spans="1:3">
      <c r="A42" t="s">
        <v>4</v>
      </c>
      <c r="B42">
        <v>20</v>
      </c>
      <c r="C42">
        <v>34331</v>
      </c>
    </row>
    <row r="43" spans="1:3">
      <c r="A43" t="s">
        <v>5</v>
      </c>
      <c r="B43">
        <v>20</v>
      </c>
      <c r="C43">
        <v>99735</v>
      </c>
    </row>
    <row r="44" spans="1:3">
      <c r="A44" t="s">
        <v>4</v>
      </c>
      <c r="B44">
        <v>21</v>
      </c>
      <c r="C44">
        <v>24876</v>
      </c>
    </row>
    <row r="45" spans="1:3">
      <c r="A45" t="s">
        <v>5</v>
      </c>
      <c r="B45">
        <v>21</v>
      </c>
      <c r="C45">
        <v>71245</v>
      </c>
    </row>
    <row r="46" spans="1:3">
      <c r="A46" t="s">
        <v>4</v>
      </c>
      <c r="B46">
        <v>22</v>
      </c>
      <c r="C46">
        <v>21120</v>
      </c>
    </row>
    <row r="47" spans="1:3">
      <c r="A47" t="s">
        <v>5</v>
      </c>
      <c r="B47">
        <v>22</v>
      </c>
      <c r="C47">
        <v>48522</v>
      </c>
    </row>
    <row r="48" spans="1:3">
      <c r="A48" t="s">
        <v>4</v>
      </c>
      <c r="B48">
        <v>23</v>
      </c>
      <c r="C48">
        <v>14122</v>
      </c>
    </row>
    <row r="49" spans="1:3">
      <c r="A49" t="s">
        <v>5</v>
      </c>
      <c r="B49">
        <v>23</v>
      </c>
      <c r="C49">
        <v>28308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D691-523E-4379-B4D0-29E9E5CB0337}">
  <dimension ref="A1:D25"/>
  <sheetViews>
    <sheetView workbookViewId="0">
      <selection activeCell="G23" sqref="G23"/>
    </sheetView>
  </sheetViews>
  <sheetFormatPr defaultRowHeight="15"/>
  <cols>
    <col min="1" max="1" width="12" bestFit="1" customWidth="1"/>
    <col min="2" max="2" width="10.5703125" bestFit="1" customWidth="1"/>
    <col min="3" max="3" width="7.85546875" bestFit="1" customWidth="1"/>
    <col min="4" max="4" width="14.42578125" customWidth="1"/>
  </cols>
  <sheetData>
    <row r="1" spans="1:4">
      <c r="A1" t="s">
        <v>0</v>
      </c>
      <c r="B1" t="s">
        <v>16</v>
      </c>
      <c r="C1" t="s">
        <v>1</v>
      </c>
      <c r="D1" t="s">
        <v>17</v>
      </c>
    </row>
    <row r="2" spans="1:4">
      <c r="A2" t="s">
        <v>4</v>
      </c>
      <c r="B2" t="s">
        <v>18</v>
      </c>
      <c r="C2">
        <v>4591</v>
      </c>
      <c r="D2">
        <v>1</v>
      </c>
    </row>
    <row r="3" spans="1:4">
      <c r="A3" t="s">
        <v>5</v>
      </c>
      <c r="B3" t="s">
        <v>18</v>
      </c>
      <c r="C3">
        <v>98601</v>
      </c>
      <c r="D3">
        <v>1</v>
      </c>
    </row>
    <row r="4" spans="1:4">
      <c r="A4" t="s">
        <v>4</v>
      </c>
      <c r="B4" t="s">
        <v>19</v>
      </c>
      <c r="C4">
        <v>2627</v>
      </c>
      <c r="D4">
        <v>2</v>
      </c>
    </row>
    <row r="5" spans="1:4">
      <c r="A5" t="s">
        <v>5</v>
      </c>
      <c r="B5" t="s">
        <v>19</v>
      </c>
      <c r="C5">
        <v>93522</v>
      </c>
      <c r="D5">
        <v>2</v>
      </c>
    </row>
    <row r="6" spans="1:4">
      <c r="A6" t="s">
        <v>4</v>
      </c>
      <c r="B6" t="s">
        <v>20</v>
      </c>
      <c r="C6">
        <v>15877</v>
      </c>
      <c r="D6">
        <v>3</v>
      </c>
    </row>
    <row r="7" spans="1:4">
      <c r="A7" t="s">
        <v>5</v>
      </c>
      <c r="B7" t="s">
        <v>20</v>
      </c>
      <c r="C7">
        <v>149659</v>
      </c>
      <c r="D7">
        <v>3</v>
      </c>
    </row>
    <row r="8" spans="1:4">
      <c r="A8" t="s">
        <v>4</v>
      </c>
      <c r="B8" t="s">
        <v>21</v>
      </c>
      <c r="C8">
        <v>47669</v>
      </c>
      <c r="D8">
        <v>4</v>
      </c>
    </row>
    <row r="9" spans="1:4">
      <c r="A9" t="s">
        <v>5</v>
      </c>
      <c r="B9" t="s">
        <v>21</v>
      </c>
      <c r="C9">
        <v>217531</v>
      </c>
      <c r="D9">
        <v>4</v>
      </c>
    </row>
    <row r="10" spans="1:4">
      <c r="A10" t="s">
        <v>4</v>
      </c>
      <c r="B10" t="s">
        <v>22</v>
      </c>
      <c r="C10">
        <v>81507</v>
      </c>
      <c r="D10">
        <v>5</v>
      </c>
    </row>
    <row r="11" spans="1:4">
      <c r="A11" t="s">
        <v>5</v>
      </c>
      <c r="B11" t="s">
        <v>22</v>
      </c>
      <c r="C11">
        <v>285793</v>
      </c>
      <c r="D11">
        <v>5</v>
      </c>
    </row>
    <row r="12" spans="1:4">
      <c r="A12" t="s">
        <v>4</v>
      </c>
      <c r="B12" t="s">
        <v>23</v>
      </c>
      <c r="C12">
        <v>130066</v>
      </c>
      <c r="D12">
        <v>6</v>
      </c>
    </row>
    <row r="13" spans="1:4">
      <c r="A13" t="s">
        <v>5</v>
      </c>
      <c r="B13" t="s">
        <v>23</v>
      </c>
      <c r="C13">
        <v>345135</v>
      </c>
      <c r="D13">
        <v>6</v>
      </c>
    </row>
    <row r="14" spans="1:4">
      <c r="A14" t="s">
        <v>4</v>
      </c>
      <c r="B14" t="s">
        <v>24</v>
      </c>
      <c r="C14">
        <v>175433</v>
      </c>
      <c r="D14">
        <v>7</v>
      </c>
    </row>
    <row r="15" spans="1:4">
      <c r="A15" t="s">
        <v>5</v>
      </c>
      <c r="B15" t="s">
        <v>24</v>
      </c>
      <c r="C15">
        <v>381615</v>
      </c>
      <c r="D15">
        <v>7</v>
      </c>
    </row>
    <row r="16" spans="1:4">
      <c r="A16" t="s">
        <v>4</v>
      </c>
      <c r="B16" t="s">
        <v>25</v>
      </c>
      <c r="C16">
        <v>186625</v>
      </c>
      <c r="D16">
        <v>8</v>
      </c>
    </row>
    <row r="17" spans="1:4">
      <c r="A17" t="s">
        <v>5</v>
      </c>
      <c r="B17" t="s">
        <v>25</v>
      </c>
      <c r="C17">
        <v>403241</v>
      </c>
      <c r="D17">
        <v>8</v>
      </c>
    </row>
    <row r="18" spans="1:4">
      <c r="A18" t="s">
        <v>4</v>
      </c>
      <c r="B18" t="s">
        <v>26</v>
      </c>
      <c r="C18">
        <v>128988</v>
      </c>
      <c r="D18">
        <v>9</v>
      </c>
    </row>
    <row r="19" spans="1:4">
      <c r="A19" t="s">
        <v>5</v>
      </c>
      <c r="B19" t="s">
        <v>26</v>
      </c>
      <c r="C19">
        <v>364004</v>
      </c>
      <c r="D19">
        <v>9</v>
      </c>
    </row>
    <row r="20" spans="1:4">
      <c r="A20" t="s">
        <v>4</v>
      </c>
      <c r="B20" t="s">
        <v>27</v>
      </c>
      <c r="C20">
        <v>70889</v>
      </c>
      <c r="D20">
        <v>10</v>
      </c>
    </row>
    <row r="21" spans="1:4">
      <c r="A21" t="s">
        <v>5</v>
      </c>
      <c r="B21" t="s">
        <v>27</v>
      </c>
      <c r="C21">
        <v>300717</v>
      </c>
      <c r="D21">
        <v>10</v>
      </c>
    </row>
    <row r="22" spans="1:4">
      <c r="A22" t="s">
        <v>4</v>
      </c>
      <c r="B22" t="s">
        <v>28</v>
      </c>
      <c r="C22">
        <v>18653</v>
      </c>
      <c r="D22">
        <v>11</v>
      </c>
    </row>
    <row r="23" spans="1:4">
      <c r="A23" t="s">
        <v>5</v>
      </c>
      <c r="B23" t="s">
        <v>28</v>
      </c>
      <c r="C23">
        <v>158401</v>
      </c>
      <c r="D23">
        <v>11</v>
      </c>
    </row>
    <row r="24" spans="1:4">
      <c r="A24" t="s">
        <v>4</v>
      </c>
      <c r="B24" t="s">
        <v>29</v>
      </c>
      <c r="C24">
        <v>16365</v>
      </c>
      <c r="D24">
        <v>12</v>
      </c>
    </row>
    <row r="25" spans="1:4">
      <c r="A25" t="s">
        <v>5</v>
      </c>
      <c r="B25" t="s">
        <v>29</v>
      </c>
      <c r="C25">
        <v>138647</v>
      </c>
      <c r="D25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BE6C-6EA3-4B66-889E-34FA055A7976}">
  <dimension ref="A2:C27"/>
  <sheetViews>
    <sheetView showGridLines="0" workbookViewId="0">
      <selection activeCell="J8" sqref="J8"/>
    </sheetView>
  </sheetViews>
  <sheetFormatPr defaultRowHeight="15"/>
  <cols>
    <col min="1" max="1" width="12.140625" bestFit="1" customWidth="1"/>
    <col min="2" max="2" width="12.85546875" bestFit="1" customWidth="1"/>
    <col min="3" max="3" width="10.85546875" bestFit="1" customWidth="1"/>
    <col min="4" max="4" width="11.42578125" bestFit="1" customWidth="1"/>
  </cols>
  <sheetData>
    <row r="2" spans="1:3">
      <c r="A2" s="1" t="s">
        <v>30</v>
      </c>
      <c r="B2" s="1" t="s">
        <v>0</v>
      </c>
      <c r="C2" s="2"/>
    </row>
    <row r="3" spans="1:3">
      <c r="A3" s="1" t="s">
        <v>15</v>
      </c>
      <c r="B3" s="2" t="s">
        <v>4</v>
      </c>
      <c r="C3" s="2" t="s">
        <v>5</v>
      </c>
    </row>
    <row r="4" spans="1:3">
      <c r="A4" s="2">
        <v>0</v>
      </c>
      <c r="B4" s="2">
        <v>8179</v>
      </c>
      <c r="C4" s="2">
        <v>15867</v>
      </c>
    </row>
    <row r="5" spans="1:3">
      <c r="A5" s="2">
        <v>1</v>
      </c>
      <c r="B5" s="2">
        <v>5355</v>
      </c>
      <c r="C5" s="2">
        <v>9029</v>
      </c>
    </row>
    <row r="6" spans="1:3">
      <c r="A6" s="2">
        <v>2</v>
      </c>
      <c r="B6" s="2">
        <v>3313</v>
      </c>
      <c r="C6" s="2">
        <v>5326</v>
      </c>
    </row>
    <row r="7" spans="1:3">
      <c r="A7" s="2">
        <v>3</v>
      </c>
      <c r="B7" s="2">
        <v>1908</v>
      </c>
      <c r="C7" s="2">
        <v>3680</v>
      </c>
    </row>
    <row r="8" spans="1:3">
      <c r="A8" s="2">
        <v>4</v>
      </c>
      <c r="B8" s="2">
        <v>1167</v>
      </c>
      <c r="C8" s="2">
        <v>6614</v>
      </c>
    </row>
    <row r="9" spans="1:3">
      <c r="A9" s="2">
        <v>5</v>
      </c>
      <c r="B9" s="2">
        <v>2606</v>
      </c>
      <c r="C9" s="2">
        <v>33151</v>
      </c>
    </row>
    <row r="10" spans="1:3">
      <c r="A10" s="2">
        <v>6</v>
      </c>
      <c r="B10" s="2">
        <v>6077</v>
      </c>
      <c r="C10" s="2">
        <v>102130</v>
      </c>
    </row>
    <row r="11" spans="1:3">
      <c r="A11" s="2">
        <v>7</v>
      </c>
      <c r="B11" s="2">
        <v>12853</v>
      </c>
      <c r="C11" s="2">
        <v>224826</v>
      </c>
    </row>
    <row r="12" spans="1:3">
      <c r="A12" s="2">
        <v>8</v>
      </c>
      <c r="B12" s="2">
        <v>21770</v>
      </c>
      <c r="C12" s="2">
        <v>283941</v>
      </c>
    </row>
    <row r="13" spans="1:3">
      <c r="A13" s="2">
        <v>9</v>
      </c>
      <c r="B13" s="2">
        <v>28655</v>
      </c>
      <c r="C13" s="2">
        <v>135109</v>
      </c>
    </row>
    <row r="14" spans="1:3">
      <c r="A14" s="2">
        <v>10</v>
      </c>
      <c r="B14" s="2">
        <v>44712</v>
      </c>
      <c r="C14" s="2">
        <v>100686</v>
      </c>
    </row>
    <row r="15" spans="1:3">
      <c r="A15" s="2">
        <v>11</v>
      </c>
      <c r="B15" s="2">
        <v>59969</v>
      </c>
      <c r="C15" s="2">
        <v>119915</v>
      </c>
    </row>
    <row r="16" spans="1:3">
      <c r="A16" s="2">
        <v>12</v>
      </c>
      <c r="B16" s="2">
        <v>69517</v>
      </c>
      <c r="C16" s="2">
        <v>136645</v>
      </c>
    </row>
    <row r="17" spans="1:3">
      <c r="A17" s="2">
        <v>13</v>
      </c>
      <c r="B17" s="2">
        <v>75084</v>
      </c>
      <c r="C17" s="2">
        <v>131920</v>
      </c>
    </row>
    <row r="18" spans="1:3">
      <c r="A18" s="2">
        <v>14</v>
      </c>
      <c r="B18" s="2">
        <v>78358</v>
      </c>
      <c r="C18" s="2">
        <v>127892</v>
      </c>
    </row>
    <row r="19" spans="1:3">
      <c r="A19" s="2">
        <v>15</v>
      </c>
      <c r="B19" s="2">
        <v>80001</v>
      </c>
      <c r="C19" s="2">
        <v>163317</v>
      </c>
    </row>
    <row r="20" spans="1:3">
      <c r="A20" s="2">
        <v>16</v>
      </c>
      <c r="B20" s="2">
        <v>82751</v>
      </c>
      <c r="C20" s="2">
        <v>292860</v>
      </c>
    </row>
    <row r="21" spans="1:3">
      <c r="A21" s="2">
        <v>17</v>
      </c>
      <c r="B21" s="2">
        <v>84343</v>
      </c>
      <c r="C21" s="2">
        <v>390619</v>
      </c>
    </row>
    <row r="22" spans="1:3">
      <c r="A22" s="2">
        <v>18</v>
      </c>
      <c r="B22" s="2">
        <v>67928</v>
      </c>
      <c r="C22" s="2">
        <v>247176</v>
      </c>
    </row>
    <row r="23" spans="1:3">
      <c r="A23" s="2">
        <v>19</v>
      </c>
      <c r="B23" s="2">
        <v>50295</v>
      </c>
      <c r="C23" s="2">
        <v>158353</v>
      </c>
    </row>
    <row r="24" spans="1:3">
      <c r="A24" s="2">
        <v>20</v>
      </c>
      <c r="B24" s="2">
        <v>34331</v>
      </c>
      <c r="C24" s="2">
        <v>99735</v>
      </c>
    </row>
    <row r="25" spans="1:3">
      <c r="A25" s="2">
        <v>21</v>
      </c>
      <c r="B25" s="2">
        <v>24876</v>
      </c>
      <c r="C25" s="2">
        <v>71245</v>
      </c>
    </row>
    <row r="26" spans="1:3">
      <c r="A26" s="2">
        <v>22</v>
      </c>
      <c r="B26" s="2">
        <v>21120</v>
      </c>
      <c r="C26" s="2">
        <v>48522</v>
      </c>
    </row>
    <row r="27" spans="1:3">
      <c r="A27" s="2">
        <v>23</v>
      </c>
      <c r="B27" s="2">
        <v>14122</v>
      </c>
      <c r="C27" s="2">
        <v>28308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BA85-D163-4242-9B6A-AA7620C0B86A}">
  <dimension ref="A3:D11"/>
  <sheetViews>
    <sheetView showGridLines="0" workbookViewId="0">
      <selection activeCell="F3" sqref="F3"/>
    </sheetView>
  </sheetViews>
  <sheetFormatPr defaultRowHeight="15"/>
  <cols>
    <col min="1" max="1" width="16.28515625" customWidth="1"/>
    <col min="2" max="2" width="15.5703125" bestFit="1" customWidth="1"/>
    <col min="3" max="3" width="12.85546875" bestFit="1" customWidth="1"/>
    <col min="4" max="4" width="10.85546875" bestFit="1" customWidth="1"/>
    <col min="5" max="5" width="11.42578125" bestFit="1" customWidth="1"/>
    <col min="6" max="6" width="17.140625" bestFit="1" customWidth="1"/>
    <col min="7" max="7" width="26.42578125" bestFit="1" customWidth="1"/>
    <col min="8" max="8" width="7.7109375" bestFit="1" customWidth="1"/>
    <col min="9" max="9" width="14.85546875" bestFit="1" customWidth="1"/>
    <col min="10" max="10" width="12.7109375" bestFit="1" customWidth="1"/>
    <col min="11" max="16" width="7.7109375" bestFit="1" customWidth="1"/>
    <col min="17" max="17" width="15.7109375" bestFit="1" customWidth="1"/>
    <col min="18" max="18" width="11.42578125" bestFit="1" customWidth="1"/>
  </cols>
  <sheetData>
    <row r="3" spans="1:4">
      <c r="A3" s="1" t="s">
        <v>30</v>
      </c>
      <c r="B3" s="2"/>
      <c r="C3" s="1" t="s">
        <v>0</v>
      </c>
      <c r="D3" s="2"/>
    </row>
    <row r="4" spans="1:4">
      <c r="A4" s="1" t="s">
        <v>7</v>
      </c>
      <c r="B4" s="1" t="s">
        <v>6</v>
      </c>
      <c r="C4" s="2" t="s">
        <v>4</v>
      </c>
      <c r="D4" s="2" t="s">
        <v>5</v>
      </c>
    </row>
    <row r="5" spans="1:4">
      <c r="A5" s="2">
        <v>1</v>
      </c>
      <c r="B5" s="2" t="s">
        <v>9</v>
      </c>
      <c r="C5" s="2">
        <v>101356</v>
      </c>
      <c r="D5" s="2">
        <v>458714</v>
      </c>
    </row>
    <row r="6" spans="1:4">
      <c r="A6" s="2">
        <v>2</v>
      </c>
      <c r="B6" s="2" t="s">
        <v>10</v>
      </c>
      <c r="C6" s="2">
        <v>88495</v>
      </c>
      <c r="D6" s="2">
        <v>496951</v>
      </c>
    </row>
    <row r="7" spans="1:4">
      <c r="A7" s="2">
        <v>3</v>
      </c>
      <c r="B7" s="2" t="s">
        <v>11</v>
      </c>
      <c r="C7" s="2">
        <v>89601</v>
      </c>
      <c r="D7" s="2">
        <v>494205</v>
      </c>
    </row>
    <row r="8" spans="1:4">
      <c r="A8" s="2">
        <v>4</v>
      </c>
      <c r="B8" s="2" t="s">
        <v>12</v>
      </c>
      <c r="C8" s="2">
        <v>101203</v>
      </c>
      <c r="D8" s="2">
        <v>486837</v>
      </c>
    </row>
    <row r="9" spans="1:4">
      <c r="A9" s="2">
        <v>5</v>
      </c>
      <c r="B9" s="2" t="s">
        <v>13</v>
      </c>
      <c r="C9" s="2">
        <v>120934</v>
      </c>
      <c r="D9" s="2">
        <v>456890</v>
      </c>
    </row>
    <row r="10" spans="1:4">
      <c r="A10" s="2">
        <v>6</v>
      </c>
      <c r="B10" s="2" t="s">
        <v>14</v>
      </c>
      <c r="C10" s="2">
        <v>207760</v>
      </c>
      <c r="D10" s="2">
        <v>287078</v>
      </c>
    </row>
    <row r="11" spans="1:4">
      <c r="A11" s="2">
        <v>7</v>
      </c>
      <c r="B11" s="2" t="s">
        <v>8</v>
      </c>
      <c r="C11" s="2">
        <v>169941</v>
      </c>
      <c r="D11" s="2">
        <v>256191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D28F-7BC2-4C40-9B01-069E847D0B70}">
  <dimension ref="A2:D15"/>
  <sheetViews>
    <sheetView showGridLines="0" workbookViewId="0">
      <selection activeCell="T7" sqref="T7"/>
    </sheetView>
  </sheetViews>
  <sheetFormatPr defaultRowHeight="15"/>
  <cols>
    <col min="1" max="1" width="15.7109375" bestFit="1" customWidth="1"/>
    <col min="2" max="2" width="10.5703125" bestFit="1" customWidth="1"/>
    <col min="3" max="3" width="12.85546875" bestFit="1" customWidth="1"/>
    <col min="4" max="4" width="10.85546875" bestFit="1" customWidth="1"/>
    <col min="5" max="5" width="11.42578125" bestFit="1" customWidth="1"/>
  </cols>
  <sheetData>
    <row r="2" spans="1:4">
      <c r="A2" s="1" t="s">
        <v>30</v>
      </c>
      <c r="B2" s="2"/>
      <c r="C2" s="1" t="s">
        <v>0</v>
      </c>
      <c r="D2" s="2"/>
    </row>
    <row r="3" spans="1:4">
      <c r="A3" s="1" t="s">
        <v>17</v>
      </c>
      <c r="B3" s="1" t="s">
        <v>16</v>
      </c>
      <c r="C3" s="2" t="s">
        <v>4</v>
      </c>
      <c r="D3" s="2" t="s">
        <v>5</v>
      </c>
    </row>
    <row r="4" spans="1:4">
      <c r="A4" s="2">
        <v>1</v>
      </c>
      <c r="B4" s="2" t="s">
        <v>18</v>
      </c>
      <c r="C4" s="2">
        <v>4591</v>
      </c>
      <c r="D4" s="2">
        <v>98601</v>
      </c>
    </row>
    <row r="5" spans="1:4">
      <c r="A5" s="2">
        <v>2</v>
      </c>
      <c r="B5" s="2" t="s">
        <v>19</v>
      </c>
      <c r="C5" s="2">
        <v>2627</v>
      </c>
      <c r="D5" s="2">
        <v>93522</v>
      </c>
    </row>
    <row r="6" spans="1:4">
      <c r="A6" s="2">
        <v>3</v>
      </c>
      <c r="B6" s="2" t="s">
        <v>20</v>
      </c>
      <c r="C6" s="2">
        <v>15877</v>
      </c>
      <c r="D6" s="2">
        <v>149659</v>
      </c>
    </row>
    <row r="7" spans="1:4">
      <c r="A7" s="2">
        <v>4</v>
      </c>
      <c r="B7" s="2" t="s">
        <v>21</v>
      </c>
      <c r="C7" s="2">
        <v>47669</v>
      </c>
      <c r="D7" s="2">
        <v>217531</v>
      </c>
    </row>
    <row r="8" spans="1:4">
      <c r="A8" s="2">
        <v>5</v>
      </c>
      <c r="B8" s="2" t="s">
        <v>22</v>
      </c>
      <c r="C8" s="2">
        <v>81507</v>
      </c>
      <c r="D8" s="2">
        <v>285793</v>
      </c>
    </row>
    <row r="9" spans="1:4">
      <c r="A9" s="2">
        <v>6</v>
      </c>
      <c r="B9" s="2" t="s">
        <v>23</v>
      </c>
      <c r="C9" s="2">
        <v>130066</v>
      </c>
      <c r="D9" s="2">
        <v>345135</v>
      </c>
    </row>
    <row r="10" spans="1:4">
      <c r="A10" s="2">
        <v>7</v>
      </c>
      <c r="B10" s="2" t="s">
        <v>24</v>
      </c>
      <c r="C10" s="2">
        <v>175433</v>
      </c>
      <c r="D10" s="2">
        <v>381615</v>
      </c>
    </row>
    <row r="11" spans="1:4">
      <c r="A11" s="2">
        <v>8</v>
      </c>
      <c r="B11" s="2" t="s">
        <v>25</v>
      </c>
      <c r="C11" s="2">
        <v>186625</v>
      </c>
      <c r="D11" s="2">
        <v>403241</v>
      </c>
    </row>
    <row r="12" spans="1:4">
      <c r="A12" s="2">
        <v>9</v>
      </c>
      <c r="B12" s="2" t="s">
        <v>26</v>
      </c>
      <c r="C12" s="2">
        <v>128988</v>
      </c>
      <c r="D12" s="2">
        <v>364004</v>
      </c>
    </row>
    <row r="13" spans="1:4">
      <c r="A13" s="2">
        <v>10</v>
      </c>
      <c r="B13" s="2" t="s">
        <v>27</v>
      </c>
      <c r="C13" s="2">
        <v>70889</v>
      </c>
      <c r="D13" s="2">
        <v>300717</v>
      </c>
    </row>
    <row r="14" spans="1:4">
      <c r="A14" s="2">
        <v>11</v>
      </c>
      <c r="B14" s="2" t="s">
        <v>28</v>
      </c>
      <c r="C14" s="2">
        <v>18653</v>
      </c>
      <c r="D14" s="2">
        <v>158401</v>
      </c>
    </row>
    <row r="15" spans="1:4">
      <c r="A15" s="2">
        <v>12</v>
      </c>
      <c r="B15" s="2" t="s">
        <v>29</v>
      </c>
      <c r="C15" s="2">
        <v>16365</v>
      </c>
      <c r="D15" s="2">
        <v>138647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BD1-4207-4556-8DD2-4986C4F645A2}">
  <dimension ref="A1:N4"/>
  <sheetViews>
    <sheetView showGridLines="0" tabSelected="1" workbookViewId="0">
      <selection activeCell="S6" sqref="S6"/>
    </sheetView>
  </sheetViews>
  <sheetFormatPr defaultColWidth="9.140625" defaultRowHeight="15"/>
  <cols>
    <col min="1" max="1" width="11.28515625" customWidth="1"/>
    <col min="3" max="3" width="10" customWidth="1"/>
    <col min="4" max="4" width="12.140625" customWidth="1"/>
    <col min="7" max="7" width="10.85546875" bestFit="1" customWidth="1"/>
  </cols>
  <sheetData>
    <row r="1" spans="1:14" ht="20.25" customHeight="1">
      <c r="A1" s="6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3"/>
      <c r="N1" s="4"/>
    </row>
    <row r="3" spans="1:14" ht="15.75">
      <c r="A3" s="11" t="s">
        <v>32</v>
      </c>
      <c r="B3" s="12"/>
      <c r="C3" s="13"/>
      <c r="D3" s="11" t="s">
        <v>33</v>
      </c>
      <c r="E3" s="12"/>
      <c r="F3" s="13"/>
      <c r="G3" s="11" t="s">
        <v>34</v>
      </c>
      <c r="H3" s="12"/>
      <c r="I3" s="13"/>
      <c r="J3" s="11" t="s">
        <v>35</v>
      </c>
      <c r="K3" s="12"/>
      <c r="L3" s="13"/>
    </row>
    <row r="4" spans="1:14" ht="31.5">
      <c r="A4" s="14">
        <f>_xlfn.XLOOKUP("Customer", KPI_Summary!A:A, KPI_Summary!B:B)</f>
        <v>879290</v>
      </c>
      <c r="B4" s="15"/>
      <c r="C4" s="16"/>
      <c r="D4" s="17">
        <f>_xlfn.XLOOKUP("Subscriber", KPI_Summary!A:A, KPI_Summary!B:B,)</f>
        <v>2936866</v>
      </c>
      <c r="E4" s="18"/>
      <c r="F4" s="19"/>
      <c r="G4" s="8">
        <f>_xlfn.XLOOKUP("Customer", KPI_Summary!A:A, KPI_Summary!C:C, "Not Found")</f>
        <v>39.43</v>
      </c>
      <c r="H4" s="9"/>
      <c r="I4" s="10"/>
      <c r="J4" s="8">
        <f>_xlfn.XLOOKUP("Subscriber", KPI_Summary!A:A, KPI_Summary!C:C, "Not Found")</f>
        <v>12.93</v>
      </c>
      <c r="K4" s="9"/>
      <c r="L4" s="10"/>
    </row>
  </sheetData>
  <mergeCells count="9">
    <mergeCell ref="A1:L1"/>
    <mergeCell ref="A4:C4"/>
    <mergeCell ref="D4:F4"/>
    <mergeCell ref="G4:I4"/>
    <mergeCell ref="J4:L4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E6CE7-4C8D-4CCE-AA15-B4FA4D911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Elnur 161385</cp:lastModifiedBy>
  <cp:revision/>
  <dcterms:created xsi:type="dcterms:W3CDTF">2025-12-18T23:11:03Z</dcterms:created>
  <dcterms:modified xsi:type="dcterms:W3CDTF">2025-12-22T21:26:39Z</dcterms:modified>
  <cp:category/>
  <cp:contentStatus/>
</cp:coreProperties>
</file>